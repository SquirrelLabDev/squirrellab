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showObjects="none"/>
  <mc:AlternateContent xmlns:mc="http://schemas.openxmlformats.org/markup-compatibility/2006">
    <mc:Choice Requires="x15">
      <x15ac:absPath xmlns:x15ac="http://schemas.microsoft.com/office/spreadsheetml/2010/11/ac" url="https://insiderscoop-my.sharepoint.com/personal/mrancinan_insiders_coop/Documents/0-PERSO/CV/CV_Excel/"/>
    </mc:Choice>
  </mc:AlternateContent>
  <xr:revisionPtr revIDLastSave="1300" documentId="13_ncr:1_{CED9D920-3D3C-4902-826D-12268A229688}" xr6:coauthVersionLast="47" xr6:coauthVersionMax="47" xr10:uidLastSave="{F2E0A07A-A1AB-4182-A051-B197844EE739}"/>
  <bookViews>
    <workbookView xWindow="-103" yWindow="-103" windowWidth="24892" windowHeight="14914" firstSheet="1" activeTab="2" xr2:uid="{00000000-000D-0000-FFFF-FFFF00000000}"/>
  </bookViews>
  <sheets>
    <sheet name="Accueil" sheetId="1" r:id="rId1"/>
    <sheet name="Home " sheetId="7" r:id="rId2"/>
    <sheet name="Dimension" sheetId="2" r:id="rId3"/>
    <sheet name="F-Employeur-Formation" sheetId="3" r:id="rId4"/>
    <sheet name="F-Client-Mission" sheetId="4" r:id="rId5"/>
    <sheet name="F-Client-Feedback" sheetId="8" r:id="rId6"/>
    <sheet name="F-Bénévolat et activités associ" sheetId="5" r:id="rId7"/>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5" l="1"/>
  <c r="B5" i="5" s="1"/>
  <c r="B4" i="5" s="1"/>
  <c r="B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tc={2B896D93-2EF0-4914-8CD1-0724140B04FF}</author>
  </authors>
  <commentList>
    <comment ref="K3" authorId="0" shapeId="0" xr:uid="{2B896D93-2EF0-4914-8CD1-0724140B04F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Indiquer les 5 solutions (Tech et Relationnel) à afficher dans l'ordre dans la home page du rapport</t>
      </text>
    </comment>
  </commentList>
</comments>
</file>

<file path=xl/sharedStrings.xml><?xml version="1.0" encoding="utf-8"?>
<sst xmlns="http://schemas.openxmlformats.org/spreadsheetml/2006/main" count="1725" uniqueCount="690">
  <si>
    <t>CV Matthieu Rancinan-Vendeville</t>
  </si>
  <si>
    <t xml:space="preserve">Besoin : </t>
  </si>
  <si>
    <t xml:space="preserve">Français et Anglais </t>
  </si>
  <si>
    <t>contact : n° téléphone, linkedin, mail, twitter</t>
  </si>
  <si>
    <t xml:space="preserve">Contenu : </t>
  </si>
  <si>
    <t>Description  Générale</t>
  </si>
  <si>
    <t>Présentation &amp; ce que je recherche</t>
  </si>
  <si>
    <t xml:space="preserve">contact </t>
  </si>
  <si>
    <t>Domaines fonctionnels</t>
  </si>
  <si>
    <t>Intitulé du domaine fonctionnelle</t>
  </si>
  <si>
    <t>Ordre d'affichage des domaines</t>
  </si>
  <si>
    <t>Icone</t>
  </si>
  <si>
    <t>Compétence Technologique (avec ordre + étoile + tooltip description)</t>
  </si>
  <si>
    <t>Intitulé de la compétence</t>
  </si>
  <si>
    <t>Ordre d'affichage</t>
  </si>
  <si>
    <t>Rating</t>
  </si>
  <si>
    <t>Compétences Relationnelle et comportementale</t>
  </si>
  <si>
    <t>F</t>
  </si>
  <si>
    <t>Expériences professionnelles</t>
  </si>
  <si>
    <t>Intitulé de l'expérience (rôle)</t>
  </si>
  <si>
    <t>Date début (mois)</t>
  </si>
  <si>
    <t>Date de fin (mois)</t>
  </si>
  <si>
    <t>Contexte client</t>
  </si>
  <si>
    <t>Logo Client</t>
  </si>
  <si>
    <t>Tâches effectuées</t>
  </si>
  <si>
    <t>Environnement technique &amp; rating</t>
  </si>
  <si>
    <t>salaire</t>
  </si>
  <si>
    <t>durée</t>
  </si>
  <si>
    <t>Formations / certification &amp; diplômes (avec image dipôme?)</t>
  </si>
  <si>
    <t>Intitulé de la formation / certification</t>
  </si>
  <si>
    <t>Image Diplôme</t>
  </si>
  <si>
    <t>Contenue de la Formation/diplôme</t>
  </si>
  <si>
    <t xml:space="preserve">Mes réalisations : rapport Power BI Kohlanta, cahier de recette, devops, formations etc. </t>
  </si>
  <si>
    <t>intitulé de la réalisation</t>
  </si>
  <si>
    <t>Si dispo lien vers la ressource</t>
  </si>
  <si>
    <t>Expérience personnelle et associative</t>
  </si>
  <si>
    <t>Intitulé de l'expérience personnelle</t>
  </si>
  <si>
    <t>Description de la réalisation</t>
  </si>
  <si>
    <t>Qualité développée</t>
  </si>
  <si>
    <t>lieu où j'ai travaillé</t>
  </si>
  <si>
    <t>Distance de ce lieu</t>
  </si>
  <si>
    <t xml:space="preserve">Contact de cette mission </t>
  </si>
  <si>
    <t>Salaire correspondant de ma boite</t>
  </si>
  <si>
    <t>TJM de la mission (si je l'ai)</t>
  </si>
  <si>
    <t>Prénom Nom</t>
  </si>
  <si>
    <t>Langue</t>
  </si>
  <si>
    <t>Home Page : Description principale</t>
  </si>
  <si>
    <t>Rôle actuel</t>
  </si>
  <si>
    <t>Date de naissance</t>
  </si>
  <si>
    <t>Tel</t>
  </si>
  <si>
    <t>Mail</t>
  </si>
  <si>
    <t>Linkedin</t>
  </si>
  <si>
    <t>X</t>
  </si>
  <si>
    <t>Photo</t>
  </si>
  <si>
    <t>Matthieu Rancinan-Vendeville</t>
  </si>
  <si>
    <t>FR</t>
  </si>
  <si>
    <t>Depuis 2016 en tant que consultant data, j'ai expérimenté et pratiqué chaque étape de la création de rapport Power BI, de la collecte du besoin au déploiement de la solution en passant par la spécification technico fonctionnelle, la modélisation, l'intégration et les tests. J'ai ainsi découvert différents environnements : Power BI en tête suivi des outils de la Power Platform mais aussi Azure sql DB, teradata, oracle, Informatica, Talend, SSIS. Adepte (et formateur) de la méthode agile Scrum j'ai pu vivre et piloter plusieurs projets via Azure DevOps. Enfin j'ai eu l'occasion d'accompagner mes clients dans l'adoption de Power BI en développant leur écosystème de formation, animant des meetups et des communautés et centres d'expertises.</t>
  </si>
  <si>
    <t>Consultant formateur Data Platform</t>
  </si>
  <si>
    <t>+33 7 44 40 18 34</t>
  </si>
  <si>
    <t>mrancinan@insiders.coop</t>
  </si>
  <si>
    <t>https://www.linkedin.com/in/mrancinanvendeville/</t>
  </si>
  <si>
    <t>https://twitter.com/mrancinan</t>
  </si>
  <si>
    <t xml:space="preserve">https://mattrv.blob.core.windows.net/curriculum/icon/BestEntier.JPG </t>
  </si>
  <si>
    <t>EN</t>
  </si>
  <si>
    <t>Since 2016 as a data consultant, I've experienced and practiced every stage of Power BI report creation, from gathering requirements to deploying the solution, via technical-functional specification, modeling, integration and testing. In this way, I discovered different environments: Power BI first and foremost, followed by Power Platform tools, but also Azure sql DB, teradata, oracle, Informatica, Talend and SSIS. As a follower (and trainer) of the Scrum agile method, I was able to experience and manage several projects via Azure DevOps. Finally, I've had the opportunity to support my customers in their adoption of Power BI by developing their training ecosystem, hosting meetups and setting up communities and centers of expertise.</t>
  </si>
  <si>
    <t>Data Platform training consultant</t>
  </si>
  <si>
    <t>https://www.base64-image.de/</t>
  </si>
  <si>
    <t>Client</t>
  </si>
  <si>
    <t>Associations</t>
  </si>
  <si>
    <t>Employeur/Formation</t>
  </si>
  <si>
    <t>Nom</t>
  </si>
  <si>
    <t>Lieu Client</t>
  </si>
  <si>
    <t>Domaine fonctionnel</t>
  </si>
  <si>
    <t>Logo Domaine</t>
  </si>
  <si>
    <t>Logo Assos</t>
  </si>
  <si>
    <t>Lieu Asso</t>
  </si>
  <si>
    <t>Logo Employeur</t>
  </si>
  <si>
    <t>Lieu Employeur</t>
  </si>
  <si>
    <t>Code Langue</t>
  </si>
  <si>
    <t>Image Drapeau Langue</t>
  </si>
  <si>
    <t>Level/5</t>
  </si>
  <si>
    <t xml:space="preserve">EDF </t>
  </si>
  <si>
    <t xml:space="preserve"> FR </t>
  </si>
  <si>
    <t xml:space="preserve"> https://mattrv.blob.core.windows.net/curriculum/LogoClient/EDF.svg </t>
  </si>
  <si>
    <t xml:space="preserve"> 1 Pl. Pleyel, 93200 Saint-Denis </t>
  </si>
  <si>
    <t xml:space="preserve"> Energie </t>
  </si>
  <si>
    <t xml:space="preserve"> https://mattrv.blob.core.windows.net/curriculum/icon/DomainEnergy.png</t>
  </si>
  <si>
    <t>SGDF</t>
  </si>
  <si>
    <t>https://mattrv.blob.core.windows.net/curriculum/LogoClient/Logo_SGDF.svg.png</t>
  </si>
  <si>
    <t>Houilles</t>
  </si>
  <si>
    <t>Université Pierre et Marie Curie</t>
  </si>
  <si>
    <t>https://mattrv.blob.core.windows.net/curriculum/LogoClient/UPMC.png</t>
  </si>
  <si>
    <t>Paris 75006</t>
  </si>
  <si>
    <t>Français</t>
  </si>
  <si>
    <t>https://mattrv.blob.core.windows.net/curriculum/icon/Langue-FR.png</t>
  </si>
  <si>
    <t xml:space="preserve"> EN </t>
  </si>
  <si>
    <t xml:space="preserve"> Energy </t>
  </si>
  <si>
    <t>Perso</t>
  </si>
  <si>
    <t>https://mattrv.blob.core.windows.net/curriculum/LogoClient/perso.png</t>
  </si>
  <si>
    <t>Paris</t>
  </si>
  <si>
    <t>EIGSI</t>
  </si>
  <si>
    <t>https://mattrv.blob.core.windows.net/curriculum/LogoClient/EIGSI.jpg</t>
  </si>
  <si>
    <t>La Rochelle 17000</t>
  </si>
  <si>
    <t>Anglais</t>
  </si>
  <si>
    <t>https://mattrv.blob.core.windows.net/curriculum/icon/Langue-EN.png</t>
  </si>
  <si>
    <t xml:space="preserve">GRT GAZ </t>
  </si>
  <si>
    <t xml:space="preserve"> https://mattrv.blob.core.windows.net/curriculum/LogoClient/LogoGRTgaz2023.svg.png </t>
  </si>
  <si>
    <t xml:space="preserve"> Bois-Colombes </t>
  </si>
  <si>
    <t>Club Power BI</t>
  </si>
  <si>
    <t>https://mattrv.blob.core.windows.net/curriculum/LogoClient/Logo-ClubPowerBI-Jaune-Slogan.png</t>
  </si>
  <si>
    <t>Sopra Steria</t>
  </si>
  <si>
    <t>https://mattrv.blob.core.windows.net/curriculum/LogoClient/Sopra_Steria_logo.svg.png</t>
  </si>
  <si>
    <t>La défense</t>
  </si>
  <si>
    <t>French</t>
  </si>
  <si>
    <t>Azeo</t>
  </si>
  <si>
    <t>https://mattrv.blob.core.windows.net/curriculum/LogoClient/Azeo.jpg</t>
  </si>
  <si>
    <t>Boulogne-Billancourt</t>
  </si>
  <si>
    <t>English</t>
  </si>
  <si>
    <t xml:space="preserve">COLAS DIGITAL SOLUTION </t>
  </si>
  <si>
    <t xml:space="preserve"> https://mattrv.blob.core.windows.net/curriculum/LogoClient/Colas_Digital-Solutions.png </t>
  </si>
  <si>
    <t xml:space="preserve"> Vélizy </t>
  </si>
  <si>
    <t xml:space="preserve"> Infrastructure et transport </t>
  </si>
  <si>
    <t xml:space="preserve"> https://mattrv.blob.core.windows.net/curriculum/icon/Domaine-InfraTransport.png</t>
  </si>
  <si>
    <t xml:space="preserve">  </t>
  </si>
  <si>
    <t>Avanade</t>
  </si>
  <si>
    <t>https://mattrv.blob.core.windows.net/curriculum/LogoClient/Avanade.jpg</t>
  </si>
  <si>
    <t>Issy-les-moulineaux</t>
  </si>
  <si>
    <t xml:space="preserve"> Infrastructure and Transport </t>
  </si>
  <si>
    <t>Insiders.Coop</t>
  </si>
  <si>
    <t>https://mattrv.blob.core.windows.net/curriculum/LogoClient/Insiders.png</t>
  </si>
  <si>
    <t>35 rue Godot de mauroy Paris</t>
  </si>
  <si>
    <t xml:space="preserve">FORMIRIS </t>
  </si>
  <si>
    <t xml:space="preserve"> https://mattrv.blob.core.windows.net/curriculum/LogoClient/Formiris.svg </t>
  </si>
  <si>
    <t xml:space="preserve"> Paris </t>
  </si>
  <si>
    <t xml:space="preserve"> Formation </t>
  </si>
  <si>
    <t xml:space="preserve"> https://mattrv.blob.core.windows.net/curriculum/icon/Domaine002-training.png</t>
  </si>
  <si>
    <t xml:space="preserve"> Training </t>
  </si>
  <si>
    <t xml:space="preserve">VINCI CONSTRUCTION </t>
  </si>
  <si>
    <t xml:space="preserve"> https://mattrv.blob.core.windows.net/curriculum/LogoClient/Vinci.svg </t>
  </si>
  <si>
    <t xml:space="preserve"> Rueil-Malmaison </t>
  </si>
  <si>
    <t>Background</t>
  </si>
  <si>
    <t>Période</t>
  </si>
  <si>
    <t>Date début</t>
  </si>
  <si>
    <t>Date fin</t>
  </si>
  <si>
    <t>URL Background</t>
  </si>
  <si>
    <t xml:space="preserve">SONEPAR </t>
  </si>
  <si>
    <t xml:space="preserve"> https://mattrv.blob.core.windows.net/curriculum/LogoClient/Sonepar.png </t>
  </si>
  <si>
    <t>Noël</t>
  </si>
  <si>
    <t>https://mattrv.blob.core.windows.net/curriculum/Background/decor-fete-noel-nature-morte-fond-bois.jpg</t>
  </si>
  <si>
    <t>Hiver</t>
  </si>
  <si>
    <t>https://mattrv.blob.core.windows.net/curriculum/Background/backgroundHiver.png</t>
  </si>
  <si>
    <t xml:space="preserve">ORANO </t>
  </si>
  <si>
    <t xml:space="preserve"> https://mattrv.blob.core.windows.net/curriculum/LogoClient/Orano.png </t>
  </si>
  <si>
    <t>Printemps</t>
  </si>
  <si>
    <t>https://mattrv.blob.core.windows.net/curriculum/Background/Printemps.png</t>
  </si>
  <si>
    <t>Eté</t>
  </si>
  <si>
    <t xml:space="preserve">https://mattrv.blob.core.windows.net/curriculum/Background/summer.jpg </t>
  </si>
  <si>
    <t xml:space="preserve">OCEANIS </t>
  </si>
  <si>
    <t xml:space="preserve"> https://mattrv.blob.core.windows.net/curriculum/LogoClient/OCEANIS.webp </t>
  </si>
  <si>
    <t xml:space="preserve"> Immobilier </t>
  </si>
  <si>
    <t xml:space="preserve"> https://mattrv.blob.core.windows.net/curriculum/icon/DomaineImmobilier.png</t>
  </si>
  <si>
    <t>Automne</t>
  </si>
  <si>
    <t xml:space="preserve">https://mattrv.blob.core.windows.net/curriculum/Background/Automn.jpg </t>
  </si>
  <si>
    <t xml:space="preserve"> Real Estate </t>
  </si>
  <si>
    <t xml:space="preserve">DIOR </t>
  </si>
  <si>
    <t xml:space="preserve"> https://mattrv.blob.core.windows.net/curriculum/LogoClient/Dior.png </t>
  </si>
  <si>
    <t xml:space="preserve"> Luxe </t>
  </si>
  <si>
    <t xml:space="preserve"> https://mattrv.blob.core.windows.net/curriculum/icon/DomaineConsumerGood.png </t>
  </si>
  <si>
    <t>Type de solution</t>
  </si>
  <si>
    <t xml:space="preserve"> Luxury </t>
  </si>
  <si>
    <t>Code Type Solution</t>
  </si>
  <si>
    <t xml:space="preserve">LA FRANÇAISE DES JEUX </t>
  </si>
  <si>
    <t xml:space="preserve"> https://mattrv.blob.core.windows.net/curriculum/LogoClient/Logo_Groupe_FDJ.svg.png </t>
  </si>
  <si>
    <t xml:space="preserve"> Boulogne-Billancourt </t>
  </si>
  <si>
    <t xml:space="preserve"> Média </t>
  </si>
  <si>
    <t xml:space="preserve"> https://mattrv.blob.core.windows.net/curriculum/icon/Domaine-Media.png</t>
  </si>
  <si>
    <t>Tech</t>
  </si>
  <si>
    <t>Technique</t>
  </si>
  <si>
    <t xml:space="preserve"> Media </t>
  </si>
  <si>
    <t>Rela</t>
  </si>
  <si>
    <t>Relationnelle</t>
  </si>
  <si>
    <t xml:space="preserve">WORDLINE </t>
  </si>
  <si>
    <t xml:space="preserve"> https://mattrv.blob.core.windows.net/curriculum/LogoClient/worldline-logo.svg </t>
  </si>
  <si>
    <t xml:space="preserve"> La défense </t>
  </si>
  <si>
    <t xml:space="preserve"> Banque </t>
  </si>
  <si>
    <t xml:space="preserve"> https://mattrv.blob.core.windows.net/curriculum/icon/Domaine001-bank.png</t>
  </si>
  <si>
    <t>Technical</t>
  </si>
  <si>
    <t xml:space="preserve"> Banking </t>
  </si>
  <si>
    <t>Relational</t>
  </si>
  <si>
    <t xml:space="preserve">DANONE </t>
  </si>
  <si>
    <t xml:space="preserve"> https://mattrv.blob.core.windows.net/curriculum/LogoClient/Danone.png </t>
  </si>
  <si>
    <t xml:space="preserve"> Agro alimentaire </t>
  </si>
  <si>
    <t xml:space="preserve"> https://mattrv.blob.core.windows.net/curriculum/icon/DomainFoodManuf.png</t>
  </si>
  <si>
    <t xml:space="preserve"> Food Industry </t>
  </si>
  <si>
    <t xml:space="preserve">SAVENCIA </t>
  </si>
  <si>
    <t xml:space="preserve"> https://mattrv.blob.core.windows.net/curriculum/LogoClient/Logo_groupe_savencia.png </t>
  </si>
  <si>
    <t xml:space="preserve"> Viroflay </t>
  </si>
  <si>
    <t xml:space="preserve">SAINT LAURENT </t>
  </si>
  <si>
    <t xml:space="preserve"> https://mattrv.blob.core.windows.net/curriculum/LogoClient/SAINT%20LAURENT.svg </t>
  </si>
  <si>
    <t xml:space="preserve"> https://mattrv.blob.core.windows.net/curriculum/icon/DomaineConsumerGood.png</t>
  </si>
  <si>
    <t xml:space="preserve">HOPITAL SAINT JOSEPH </t>
  </si>
  <si>
    <t xml:space="preserve"> https://mattrv.blob.core.windows.net/curriculum/LogoClient/HOPITAL%20SAINT%20JOSEPH.png </t>
  </si>
  <si>
    <t xml:space="preserve"> Santé </t>
  </si>
  <si>
    <t xml:space="preserve"> https://mattrv.blob.core.windows.net/curriculum/icon/Domaine005-soins-de-sante.png</t>
  </si>
  <si>
    <t xml:space="preserve"> Health </t>
  </si>
  <si>
    <t xml:space="preserve">TRANSAVIA </t>
  </si>
  <si>
    <t xml:space="preserve"> https://mattrv.blob.core.windows.net/curriculum/LogoClient/Transavia_logo.svg.png </t>
  </si>
  <si>
    <t xml:space="preserve"> 7 Av. de l'Union, 94390 Orly </t>
  </si>
  <si>
    <t xml:space="preserve">EIGSI </t>
  </si>
  <si>
    <t xml:space="preserve"> https://mattrv.blob.core.windows.net/curriculum/LogoClient/EIGSI.jpg </t>
  </si>
  <si>
    <t xml:space="preserve"> La Rochelle 17000 </t>
  </si>
  <si>
    <t xml:space="preserve">INQOM </t>
  </si>
  <si>
    <t>https://mattrv.blob.core.windows.net/curriculum/LogoClient/Inqom.svg</t>
  </si>
  <si>
    <t xml:space="preserve"> Comptabilité </t>
  </si>
  <si>
    <t xml:space="preserve"> Accounting </t>
  </si>
  <si>
    <t>AGL</t>
  </si>
  <si>
    <t>https://mattrv.blob.core.windows.net/curriculum/LogoClient/Africa_Global_Logistics_logo.png</t>
  </si>
  <si>
    <t>92800 Puteaux</t>
  </si>
  <si>
    <t>OCP</t>
  </si>
  <si>
    <t>https://mattrv.blob.core.windows.net/curriculum/LogoClient/Logo-OCP.png</t>
  </si>
  <si>
    <t>clichy</t>
  </si>
  <si>
    <t>KS SERVICES</t>
  </si>
  <si>
    <t>https://mattrv.blob.core.windows.net/curriculum/LogoClient/logo-ks_services.png</t>
  </si>
  <si>
    <t>Orsay</t>
  </si>
  <si>
    <t>AIR LIQUIDE</t>
  </si>
  <si>
    <t>https://mattrv.blob.core.windows.net/curriculum/LogoClient/air-liquide.svg</t>
  </si>
  <si>
    <t>Employeur-Formation</t>
  </si>
  <si>
    <t>ID_Ligne</t>
  </si>
  <si>
    <t>Employeur</t>
  </si>
  <si>
    <t>intitulé du Poste</t>
  </si>
  <si>
    <t>Diplôme et certification</t>
  </si>
  <si>
    <t>Logo Certif/Diplôme</t>
  </si>
  <si>
    <t xml:space="preserve">FR </t>
  </si>
  <si>
    <t xml:space="preserve"> 10/01/2024 </t>
  </si>
  <si>
    <t xml:space="preserve"> Insiders.Coop </t>
  </si>
  <si>
    <t xml:space="preserve"> Consultant Data Formateur Power BI </t>
  </si>
  <si>
    <t>DP-600 : Fabric Analytics Engineer Associate</t>
  </si>
  <si>
    <t>https://mattrv.blob.core.windows.net/curriculum/icon/DP500.png</t>
  </si>
  <si>
    <t xml:space="preserve">EN </t>
  </si>
  <si>
    <t xml:space="preserve"> Data Consultant and Power BI Trainer </t>
  </si>
  <si>
    <t xml:space="preserve"> 01/04/2021 </t>
  </si>
  <si>
    <t xml:space="preserve"> 09/01/2024 </t>
  </si>
  <si>
    <t xml:space="preserve"> Avanade </t>
  </si>
  <si>
    <t xml:space="preserve"> Formation Power BI et MCT </t>
  </si>
  <si>
    <t xml:space="preserve"> https://mattrv.blob.core.windows.net/curriculum/icon/presentation.png </t>
  </si>
  <si>
    <t xml:space="preserve"> Power BI and MCT Training </t>
  </si>
  <si>
    <t xml:space="preserve"> 03/10/2022 </t>
  </si>
  <si>
    <t xml:space="preserve"> DP-900 : Azure Data Fundamentals </t>
  </si>
  <si>
    <t xml:space="preserve"> https://mattrv.blob.core.windows.net/curriculum/icon/microsoft-certified-fundamentals-badge.svg </t>
  </si>
  <si>
    <t xml:space="preserve"> DP-900: Azure Data Fundamentals </t>
  </si>
  <si>
    <t xml:space="preserve"> 21/04/2022 </t>
  </si>
  <si>
    <t xml:space="preserve"> PL-900 : Power Platform Fundamentals </t>
  </si>
  <si>
    <t xml:space="preserve"> PL-900: Power Platform Fundamentals </t>
  </si>
  <si>
    <t xml:space="preserve"> 03/10/2020 </t>
  </si>
  <si>
    <t xml:space="preserve"> DP-500 : Azure Enterprise Data Analyst Associate </t>
  </si>
  <si>
    <t xml:space="preserve"> https://mattrv.blob.core.windows.net/curriculum/icon/DP500.png </t>
  </si>
  <si>
    <t xml:space="preserve"> DP-500: Azure Enterprise Data Analyst Associate </t>
  </si>
  <si>
    <t xml:space="preserve"> 01/06/2019 </t>
  </si>
  <si>
    <t xml:space="preserve"> Azeo </t>
  </si>
  <si>
    <t xml:space="preserve"> Consultant Data / Expert Power BI </t>
  </si>
  <si>
    <t xml:space="preserve"> Développement des formations Power BI, consultant BI, réalisation de reporting </t>
  </si>
  <si>
    <t xml:space="preserve"> Data Consultant / Power BI Expert </t>
  </si>
  <si>
    <t xml:space="preserve"> Development of Power BI training, BI consulting, reporting creation </t>
  </si>
  <si>
    <t xml:space="preserve"> 12/02/2021 </t>
  </si>
  <si>
    <t xml:space="preserve"> MCT : Microsoft Certified Trainer </t>
  </si>
  <si>
    <t xml:space="preserve"> https://mattrv.blob.core.windows.net/curriculum/icon/MCT.png </t>
  </si>
  <si>
    <t xml:space="preserve"> MCT: Microsoft Certified Trainer </t>
  </si>
  <si>
    <t xml:space="preserve"> 01/09/2020 </t>
  </si>
  <si>
    <t xml:space="preserve"> PL-300 : Analyzing Data with Microsoft Power BI </t>
  </si>
  <si>
    <t xml:space="preserve"> https://mattrv.blob.core.windows.net/curriculum/icon/PL300.png </t>
  </si>
  <si>
    <t xml:space="preserve"> PL-300: Analyzing Data with Microsoft Power BI </t>
  </si>
  <si>
    <t xml:space="preserve"> 01/02/2018 </t>
  </si>
  <si>
    <t xml:space="preserve"> Sopra Steria </t>
  </si>
  <si>
    <t xml:space="preserve"> Consultant data &amp; coach Agile </t>
  </si>
  <si>
    <t xml:space="preserve"> Formateur Agile &amp; Power BI </t>
  </si>
  <si>
    <t xml:space="preserve"> Data Consultant &amp; Agile Coach </t>
  </si>
  <si>
    <t xml:space="preserve"> Agile &amp; Power BI Trainer </t>
  </si>
  <si>
    <t xml:space="preserve"> 24/10/2018 </t>
  </si>
  <si>
    <t xml:space="preserve"> PSPO I : Professional Scrum Product Owner I </t>
  </si>
  <si>
    <t xml:space="preserve"> https://mattrv.blob.core.windows.net/curriculum/icon/PSPOI.svg </t>
  </si>
  <si>
    <t xml:space="preserve"> PSPO I: Professional Scrum Product Owner I </t>
  </si>
  <si>
    <t xml:space="preserve"> 27/06/2018 </t>
  </si>
  <si>
    <t xml:space="preserve"> PSM I : Professional Scrum Master I </t>
  </si>
  <si>
    <t xml:space="preserve"> https://mattrv.blob.core.windows.net/curriculum/icon/PSMI.svg </t>
  </si>
  <si>
    <t xml:space="preserve"> PSM I: Professional Scrum Master I </t>
  </si>
  <si>
    <t xml:space="preserve"> 01/09/2013 </t>
  </si>
  <si>
    <t xml:space="preserve"> 01/02/2016 </t>
  </si>
  <si>
    <t xml:space="preserve"> EIGSI </t>
  </si>
  <si>
    <t xml:space="preserve"> Etudiant Ingénieur </t>
  </si>
  <si>
    <t xml:space="preserve"> Diplôme d'ingénieur généraliste - Dominante Intégration réseau et système d'intégration </t>
  </si>
  <si>
    <t xml:space="preserve"> https://mattrv.blob.core.windows.net/curriculum/icon/chapeau-de-graduation-et-diplome.png </t>
  </si>
  <si>
    <t xml:space="preserve"> Engineering Student </t>
  </si>
  <si>
    <t xml:space="preserve"> Generalist Engineering Degree - Focus on Network Integration and Systems Integration </t>
  </si>
  <si>
    <t xml:space="preserve"> 01/09/2011 </t>
  </si>
  <si>
    <t xml:space="preserve"> Université Pierre et Marie Curie </t>
  </si>
  <si>
    <t xml:space="preserve"> Etudiant en Licence de physique appliquée </t>
  </si>
  <si>
    <t xml:space="preserve"> Diplôme Licence de Physique appliquée aux Interfaces </t>
  </si>
  <si>
    <t xml:space="preserve"> Applied Physics Bachelor's Student </t>
  </si>
  <si>
    <t xml:space="preserve"> Bachelor's Degree in Applied Physics to Interfaces </t>
  </si>
  <si>
    <t>F-Client-Mission</t>
  </si>
  <si>
    <t>ID_ligne</t>
  </si>
  <si>
    <t>Type de mission</t>
  </si>
  <si>
    <t>Lieu Mission</t>
  </si>
  <si>
    <t>Rôle</t>
  </si>
  <si>
    <t>Réalisation</t>
  </si>
  <si>
    <t>Type de Solution</t>
  </si>
  <si>
    <t>Solutions</t>
  </si>
  <si>
    <t>Environnement technique</t>
  </si>
  <si>
    <t>HomePageVieworder Solution</t>
  </si>
  <si>
    <t>HomePageVieworder Expérience significative</t>
  </si>
  <si>
    <t>Part Time</t>
  </si>
  <si>
    <t>GRDF</t>
  </si>
  <si>
    <t>Saint Denis</t>
  </si>
  <si>
    <t>Formateur Power BI</t>
  </si>
  <si>
    <t xml:space="preserve">Animation d'une série de plusieurs formations Power BI pour monter un centre d'excellence et développer l'usage de l'outil. </t>
  </si>
  <si>
    <t>Power BI</t>
  </si>
  <si>
    <t>Amélioration continue des supports pour répondre au besoin client.</t>
  </si>
  <si>
    <t>HOPITAL SAINT JOSEPH</t>
  </si>
  <si>
    <t xml:space="preserve">Animation d'une formation Power BI de 3 jours comprenant une partie Designer autours de l'utilisation avancé de Power BI pour créer des rapports et "Power User" centrée sur la construction d'un modèle complexe avec plusieurs sources différente, allant de l'intégration de plusieurs sources différentes à la transformations des données en partant d'un besoin métier. </t>
  </si>
  <si>
    <t xml:space="preserve">Création d'un parcours de formation complet incluant plusieurs profil : consommateur et créateur de rapport, créateur de modèle et notion avancée. </t>
  </si>
  <si>
    <t>Power BI Trainer</t>
  </si>
  <si>
    <t xml:space="preserve">Facilitation of a  three-day Power BI training course including a Designer section on  advanced use of Power BI to create reports and a "Power  User" section focused on building a complex model with several  different sources, ranging from the integration of several different sources  to data transformation based on business needs. </t>
  </si>
  <si>
    <t xml:space="preserve">Creation of a complete training path including several profiles: consumer and report creator, model creator and advanced notion. </t>
  </si>
  <si>
    <t>Full Time</t>
  </si>
  <si>
    <t xml:space="preserve">Senior Data Consultant </t>
  </si>
  <si>
    <t>Monitoring de la plateforme Fabric. Création d'un "purgatory" : outil de nettoyage automatique des rapports Power BI non utilisés. Utilisation des API de monitoring et de ADF principalement. 
Création d'automatisation pour scale up et down les capacités Fabric via Azure Data Factory. 
Utilisation de Copilot pour présentation à la communauté data.
Création d'outils notebook Python pour déplacer des workspaces de capacités en capacités</t>
  </si>
  <si>
    <t>Azure Synapse Analytics</t>
  </si>
  <si>
    <t xml:space="preserve">Création d'un outil de nettoyage automatique des rapports Power BI non utilisés. </t>
  </si>
  <si>
    <t>SQL Server Management Studio</t>
  </si>
  <si>
    <t>Reprise de script SQL pour adaptation et création de table/vue pour monitoring</t>
  </si>
  <si>
    <t>Azure Data Factory</t>
  </si>
  <si>
    <t>Notebook Fabric</t>
  </si>
  <si>
    <t>Viking</t>
  </si>
  <si>
    <t>Online</t>
  </si>
  <si>
    <t>Microsoft Certified Trainer</t>
  </si>
  <si>
    <t xml:space="preserve">Formation FIAD de 3 jours pour présenter Microsoft Fabric </t>
  </si>
  <si>
    <t>ECE</t>
  </si>
  <si>
    <t>Enseignant vacataire</t>
  </si>
  <si>
    <t>Réalisation  d'un cours et accompagnement pour projet pour une promo de 80 étudiant autours de Power BI</t>
  </si>
  <si>
    <t>Clichy</t>
  </si>
  <si>
    <t>Formation DP600 : Ingénieur en analytique Microsoft Fabric</t>
  </si>
  <si>
    <t>Microsoft Fabric</t>
  </si>
  <si>
    <t>Training DP600 : Microsoft Fabric Analytics Engineer</t>
  </si>
  <si>
    <t xml:space="preserve">Analyse du besoin du client Wedgit pour création  d'un modèle sémantique utilisable sous Power BI. Phase de cadrage contenant l'analyse du besoin et sa spécification puis réalisation. Domaine opérationnel : Finance et RH. </t>
  </si>
  <si>
    <t>Cadrage métier</t>
  </si>
  <si>
    <t xml:space="preserve">Analyse du besoin : revue des rapports existant (Excel), énumération des indicateurs et axes d'analyses nécessaires, analyse des sources (data profiling) et leur mode d'intégration (historisation, fréquence, charge etc.). Elaboration de spécifications fonctionnelles avec le métier pour établir un planning de développement. </t>
  </si>
  <si>
    <t xml:space="preserve">Analysis of Wedgit's customer needs for the creation of a semantic model that can be used in Power BI. Scoping phase including needs analysis and specification, followed by implementation. Operational area: Finance and HR. </t>
  </si>
  <si>
    <t>Business scope</t>
  </si>
  <si>
    <t xml:space="preserve">Needs analysis: review of existing reports (Excel), listing of necessary indicators and areas of analysis, analysis of sources (data profiling) and how they are integrated (historical data, frequency, load, etc.). Development of functional specifications with the business to establish a development schedule. </t>
  </si>
  <si>
    <t>La Rochelle</t>
  </si>
  <si>
    <t>5ème Intervention pour les 4ème année dans la dominante Entreprise du futur pour délivrer une formation complète sur la BI et accompagner les étudiants dans la réalisation d'un projet de réalisation d'un rapport Power BI en 5 groupes de 4. Le planning se déroule ainsi : 1 cours magistral de 3h puis 1 jour de TD puis deux demi journée d'accompagnement aux projets et enfin un jour d'évaluation : 2h d'examen individuel (nouveau par rapport aux années précédentes), La soutenance et un quizz de 30 minutes.</t>
  </si>
  <si>
    <t>Reprise du rapport Power BI de suvi ainsi que des rapports de présentation. Intégration d'un examen de 2h sur la base de sources identifiées avec comme objectif de répondre à la problématique : "Quel est l'avenir professionnel des étudiants de l'école ? "</t>
  </si>
  <si>
    <t>Adjunct Lecturer</t>
  </si>
  <si>
    <t>5th intervention for 4th-year students in the 'Enterprise of the Future' specialization to deliver comprehensive training on BI and support students in the creation of a Power BI report project in 5 groups of 4. The schedule is as follows: 1 lecture of 3 hours, then 1 day of practical workshop (TD), followed by two half-days of project support, and finally, 1 evaluation day: 2 hours of individual exam (new compared to previous years), the presentation, and a 30-minute quiz.</t>
  </si>
  <si>
    <t>"Resumption of the Power BI tracking report as well as presentation reports. Integration of a 2-hour exam based on identified sources with the objective of addressing the issue: 'What is the professional future of the school's students?'"</t>
  </si>
  <si>
    <t>Accompagnement des étudiants</t>
  </si>
  <si>
    <t xml:space="preserve">Accompagnement des étudiants dans leurs projet : 5 groupes de 4 étudiants  : 1 cours magistral de 3h pour voir les fondamentaux, 1 Travaux dirigé (TD) de 1 journées de prise en main pratiques et mise en place du projet,   2 sessions d'accompagnements, 1 journée d'évaluation composée d'un examen, une soutenance et un quizz.  </t>
  </si>
  <si>
    <t>Student Support</t>
  </si>
  <si>
    <t>"Support for students in their project: 5 groups of 4 students: 1 lecture of 3 hours to cover the fundamentals, 1 practical workshop (TD) of 1 day for hands-on experience and project setup, 2 support sessions, 1 evaluation day consisting of an exam, a presentation, and a quiz."</t>
  </si>
  <si>
    <t xml:space="preserve">Animation d'une formation Power BI "Power User" centrée sur la construction d'un modèle complexe avec plusieurs sources différente, allant de l'intégration de plusieurs sources différentes à la transformations des données en partant d'un besoin métier. </t>
  </si>
  <si>
    <t xml:space="preserve">Delivery of a Power BI “Power User” training session focused on building a complex model with several different sources, from integrating several different sources to transforming data based on a business need. </t>
  </si>
  <si>
    <t xml:space="preserve">Animation d'une formation Power BI dans un contexte international Anglais à distance. </t>
  </si>
  <si>
    <t xml:space="preserve">Remote Power BI training in an international English context. </t>
  </si>
  <si>
    <t>SAVENCIA</t>
  </si>
  <si>
    <t>Saint-Lô</t>
  </si>
  <si>
    <t>Création de 3 formation pour les équipes métiers qui seront amenée à créer les rapports</t>
  </si>
  <si>
    <t>Création du support de formation sur Power BI de l'intégration des fichiers client jusqu'au visuel en passant par l'intégration via Power Query et des indicateurs en DAX. Inclus la rédaction des cahiers d'exercice autonome.</t>
  </si>
  <si>
    <t>Creation of 3 training courses for the business teams who will create the reports</t>
  </si>
  <si>
    <t>Creation of training material on Power BI, from the integration of customer files to the visuals, including integration via Power Query and DAX indicators. Includes drafting of stand-alone workbooks.</t>
  </si>
  <si>
    <t>Viroflay</t>
  </si>
  <si>
    <t>Chef de projet BI</t>
  </si>
  <si>
    <t>Pilotage d'un projet BI pour les ressources laitières sur la facturation et la qualité du lait. Contexte France et international. Base de données d'une offre propriétaire et d'une base de données groupe. Phase design contenant rédaction des spécification fonctionnelle &amp; Build.</t>
  </si>
  <si>
    <t>Design du modèle de donnée et test via la création de POC sur la base de fichier plat (txt et Excel) et de base de données (Azure SQL DB) incluant la traduction automatique.</t>
  </si>
  <si>
    <t>BI Project Manager</t>
  </si>
  <si>
    <t>Management of a BI project for dairy resources on billing and milk quality. Context France and international. Database of a proprietary offer and a group database. Design phase including drafting of functional specifications &amp; Build.</t>
  </si>
  <si>
    <t>Design of the data model and testing through the creation of POCs based on flat files (txt and Excel) and databases (Azure SQL DB) including automatic translation.</t>
  </si>
  <si>
    <t>Pilotage de projet</t>
  </si>
  <si>
    <t>Mise en place de la méthodologie Agile Scrum : daily, comité de projet inclus présentation du réalisé, comité de pilotage avec les sponsors. Elaboration des planning et gestion des atelier de travails pour poser les documents : Axes d'analyse, liste d'indicateurs, spécification fonctionnelle et réalisation des rapport Power BI avec le client.</t>
  </si>
  <si>
    <t>Project Management</t>
  </si>
  <si>
    <t>Implementation of Agile Scrum methodology: daily, project committee including presentation of achievements, steering committee with sponsors. Development of schedules and management of work workshops to establish documents: Analysis axes, list of indicators, functional specification and creation of Power BI reports with the client.</t>
  </si>
  <si>
    <t>INQOM</t>
  </si>
  <si>
    <t>Développeur Data Ingénieur Fabric</t>
  </si>
  <si>
    <t>Amélioration d’une plateforme de transformation Fabric : mise en place de 2 environnements et d’un pipeline de déploiement, utilisation de Git pour le versionning, test d’intégration d’un SPN, simplification de data pipeline et notebook existant, revue et optimisation de rapport Power BI (RLS).</t>
  </si>
  <si>
    <t>Data Engineer Fabric Developer</t>
  </si>
  <si>
    <t>Improvement of a Fabric transformation platform: setup of 2 environments and a deployment pipeline, use of Git for versioning, integration test of an SPN, simplification of existing data pipeline and notebook, review and optimization of Power BI report (RLS).</t>
  </si>
  <si>
    <t>4ème Intervention pour les 4ème année dans la dominante Entreprise du futur pour délivrer une formation complète sur la BI et accompagner les étudiants dans la réalisation d'un projet de réalisation d'un rapport Power BI en petit groupe de 3/4 (10 groupe au total). Le planning se déroule ainsi : 1 cours magistral de 3h puis 2 jours de TD en demi groupe puis un jour d'accompagnement et enfin un jour de soutenance.</t>
  </si>
  <si>
    <t>Création d'une formation dédiée pour permettre d'appréhender l'outil notamment pour la partie import de données car les étudiants peuvent choisir leurs données. Réalisation d'un rapport Power BI de suivi notamment pour analyser le résultat du quizz représentant 20% de la note, contenant des point négatifs.</t>
  </si>
  <si>
    <t>4th intervention for 4th year students in the Future Enterprise major to deliver a complete training on BI and support students in the realization of a Power BI report project in small groups of 3/4 (10 groups in total). The schedule is as follows: 3rd student, 1 lecture of 3 hours then 2 days of practical work in half group then one day of support and finally one day of defense.</t>
  </si>
  <si>
    <t>Creation of a dedicated training to help understand the tool, especially for the data import part as students can choose their data. Creation of a Power BI follow-up report to analyze the quiz result representing 20% of the grade, containing negative points.</t>
  </si>
  <si>
    <t>Accompagnement des étudiants dans leurs projet. Il y a 10 groupes de 3/4 personnes, il faut une bonne organisation pour pouvoir allouer du temps à chacun. Notamment utilisation des outils tels que google meet pour organiser les visios, google drive pour le transfert des documents, mails etc.</t>
  </si>
  <si>
    <t>Support for students in their projects. There are 10 groups of 3/4 people, good organization is needed to allocate time to each. Notably using tools such as Google Meet to organize video calls, Google Drive for document transfer, emails, etc.</t>
  </si>
  <si>
    <t>Pilotage de 2 projets BI dans un contexte international : 
- Sept 23 -&gt; Mai 24 : pour les ressources laitières sur le bien-être animal sur source API d'une offre propriétaire (CBPE&amp;BW) et d'une base de données groupe (Omega). Planning serré et nombreux interlocuteurs. 
- Jan -&gt; sept 23 : refonte d'un modèle de maintenance industrielle impliquant le développement de nouveau flux Talend. Equipe composée de 3 développeurs (dont 2 offshore en Indes) et 6 métiers.</t>
  </si>
  <si>
    <t>Azure DevOps</t>
  </si>
  <si>
    <t>DevOps vue Board : réalisation du suivi fin du projet sous la méthodologie Agile Scrum, création de Product Backlog Item, tâche, log de Bug, suivi du réalisé vs estimé, utilisation des query et développement d'un rapport dédié pour analyser le backlog.</t>
  </si>
  <si>
    <t>Management of 2 BI projects in an international context: 
- Sept 23 -&gt; May 24: for dairy resources on animal welfare on API source of a proprietary offer (CBPE&amp;BW) and a group database (Omega). Tight schedule and many stakeholders. 
- Jan -&gt; Sept 23: overhaul of an industrial maintenance model involving the development of new Talend flows. Team composed of 3 developers (including 2 offshore in India) and 6 business users.</t>
  </si>
  <si>
    <t>DevOps Board view: project end tracking under Agile Scrum methodology, creation of Product Backlog Item, task, Bug log, tracking of actual vs estimated, use of queries and development of a dedicated report to analyze the backlog.</t>
  </si>
  <si>
    <t>Intégration des données structurées dans le dataset, réalisation d'un rapport modèle et accompagnement à l'utilisation des métiers. Création d'une formation dédiée</t>
  </si>
  <si>
    <t>Integration of structured data into the dataset, creation of a model report and support for business use. Creation of a dedicated training</t>
  </si>
  <si>
    <t>Talend</t>
  </si>
  <si>
    <t>Appréhension du framework existant et utilisé pour le typage de données, utilisation basique de Git pour la gestion des versions.</t>
  </si>
  <si>
    <t>Understanding the existing framework used for data typing, basic use of Git for version control.</t>
  </si>
  <si>
    <t>Scrum Master</t>
  </si>
  <si>
    <t>Animation des cérémonie agiles avec l'équipe : Daily, retrospective, revue de projet, poker planning</t>
  </si>
  <si>
    <t>Facilitation of agile ceremonies with the team: Daily, retrospective, project review, poker planning</t>
  </si>
  <si>
    <t>Réalisation et animation de comité de pilotage et de projet pour une équipe de 3 développeur dont 2 offshore (Indes). Discussion avec les responsables applicatifs pour la rédaction des interfaces de données.</t>
  </si>
  <si>
    <t>Organization and facilitation of steering and project committees for a team of 3 developers including 2 offshore (India). Discussions with application managers for drafting data interfaces.</t>
  </si>
  <si>
    <t>Atelier métier</t>
  </si>
  <si>
    <t>Réalisation et animation d'atelier de recette métier situés sur plusieurs sites différents.</t>
  </si>
  <si>
    <t>Business Workshop</t>
  </si>
  <si>
    <t>Organization and facilitation of business acceptance workshops located on several different sites.</t>
  </si>
  <si>
    <t>Documentation technico/fonctionnelle</t>
  </si>
  <si>
    <t>Accompagnement à la rédaction des documents fonctionnelles : Bus Matrix, Spécification Fonctionnelle, Axes d'analyse, Liste d'indicateur et cahier de recette. Rédaction des spécifications techniques</t>
  </si>
  <si>
    <t>Technical/Functional Documentation</t>
  </si>
  <si>
    <t>Support for drafting functional documents: Bus Matrix, Functional Specification, Analysis Axes, Indicator List, and test book. Drafting of technical specifications</t>
  </si>
  <si>
    <t>DANONE</t>
  </si>
  <si>
    <t>Community Manager &amp; trainer</t>
  </si>
  <si>
    <t>Dans un context international, animation d'une communauté de bonne pratiques self-service BI autour de Power BI incluant le retour des nouveautés du web, démonstration vidéo ainsi que des formations. Réflexion sur les bonnes pratiques d'un projet Power BI de sa conception à sa réalisation. Audit de rapport existant pour optimisation de modèle et performances.</t>
  </si>
  <si>
    <t>Amélioration des formations beginner existantes autour de la plateforme. Création d'une formation DAX. Accompagnement des utilisateurs dans la réalisation de leur rapports. Création de rapport Power BI pour suivre l'activité de la formation ainsi que du process d'inscription.</t>
  </si>
  <si>
    <t>In an international context, animation of a self-service BI best practices community around Power BI including feedback on web news, video demonstrations, and training. Reflection on best practices for a Power BI project from conception to realization. Audit of existing reports for model and performance optimization.</t>
  </si>
  <si>
    <t>Improvement of existing beginner training around the platform. Creation of a DAX training. Support for users in creating their reports. Creation of Power BI reports to track training activity and the registration process.</t>
  </si>
  <si>
    <t>Microsoft Forms</t>
  </si>
  <si>
    <t>Utilisation pour orienter les utilisateurs vers les bonnes formations et récupérer leur satisfaction des formations.</t>
  </si>
  <si>
    <t>Used to guide users to the right training and collect their satisfaction with the training.</t>
  </si>
  <si>
    <t>Power Automate</t>
  </si>
  <si>
    <t>Automatisation de l'inscription à une formation via Forms</t>
  </si>
  <si>
    <t>Automation of training registration via Forms</t>
  </si>
  <si>
    <t>Canva</t>
  </si>
  <si>
    <t>Utilisation pour création de contenu vidéo de démonstration régulière : technique et présentation de rapport existant.</t>
  </si>
  <si>
    <t>Used for creating regular video demonstration content: technical and presentation of existing reports.</t>
  </si>
  <si>
    <t>Teams</t>
  </si>
  <si>
    <t>Utilisé pour délivrer les formations</t>
  </si>
  <si>
    <t>Used to deliver training</t>
  </si>
  <si>
    <t>Workplace</t>
  </si>
  <si>
    <t>Diffusion de contenu et animation de 3 communauté d'utilisateurs : Centre d'excellence, Champions et utilisateurs.</t>
  </si>
  <si>
    <t>Content dissemination and animation of 3 user communities: Center of Excellence, Champions, and users.</t>
  </si>
  <si>
    <t>Mentimeter</t>
  </si>
  <si>
    <t>Utilisé pour créer de l'intéraction lors des formations.</t>
  </si>
  <si>
    <t>Used to create interaction during training.</t>
  </si>
  <si>
    <t>Analyse du besoin en formation, revu des indicateurs et présentation des évolutions.</t>
  </si>
  <si>
    <t>Analysis of training needs, review of indicators, and presentation of developments.</t>
  </si>
  <si>
    <t>SAINT LAURENT</t>
  </si>
  <si>
    <t>Réalisation et animation d'une formation adaptée au contexte du client et basée sur les supports de formations de l'avanade academy. Recrutement et formation de nouveaux formateurs</t>
  </si>
  <si>
    <t>Utilisation d'un dataset client pour faire la formation (directQuery)</t>
  </si>
  <si>
    <t>Creation and facilitation of training adapted to the client's context and based on Avanade Academy training materials. Recruitment and training of new trainers</t>
  </si>
  <si>
    <t>Use of a client dataset for training (directQuery)</t>
  </si>
  <si>
    <t>Forms</t>
  </si>
  <si>
    <t>Utilisation pour récupérer les feedbacks clients</t>
  </si>
  <si>
    <t>Used to collect client feedback</t>
  </si>
  <si>
    <t>Réalisation d'atelier métier pour identifier le besoin et créer le support de formation adapté</t>
  </si>
  <si>
    <t>Conducting business workshops to identify needs and create appropriate training materials</t>
  </si>
  <si>
    <t>Animation de formation Power BI réalisée pour l'Avanade Academy</t>
  </si>
  <si>
    <t>Facilitation of Power BI training conducted for the Avanade Academy</t>
  </si>
  <si>
    <t>TRANSAVIA</t>
  </si>
  <si>
    <t>WORDLINE</t>
  </si>
  <si>
    <t>Développeur expert Power BI</t>
  </si>
  <si>
    <t>Développement d’un ensemble de 2 rapports Power BI MVP avant-vente basés sur un modèle existant pour un suivie financier dans un context de fortes contraintes opérationnelles sur le sujet (délais court, risques et imprévus élevé).</t>
  </si>
  <si>
    <t>Réalisation de 2 rapports de 5 pages chacun en 1 mois</t>
  </si>
  <si>
    <t>Expert Power BI Developer</t>
  </si>
  <si>
    <t>Development of a set of 2 Power BI MVP pre-sales reports based on an existing model for financial tracking in a context of high operational constraints on the subject (short deadlines, high risks and unforeseen events).</t>
  </si>
  <si>
    <t>Creation of 2 reports of 5 pages each in 1 month</t>
  </si>
  <si>
    <t>Animation d'atelier de design thinking pour la conception des rapports.</t>
  </si>
  <si>
    <t>Facilitation of design thinking workshops for report design.</t>
  </si>
  <si>
    <t>LA FRANÇAISE DES JEUX</t>
  </si>
  <si>
    <t>Consultant BI</t>
  </si>
  <si>
    <t>Audit des pratiques existantes, accompagnement de l'équipe en place pour monter en compétence sur l'utilisation de Power BI. Mise en place de bonnes pratiques de développement autour de l'outil Power BI (incrémental refresh, agrégation, documentations techniques etc.). Réalisation de rapports à forte volumétries.</t>
  </si>
  <si>
    <t>Création de rapports template incluant les bonnes pratiques de développement pour ne pas partir de zéro en créant un rapport : filtre on/off, rappel de filtre, calculation group, tooltip, check list bonnes pratiques. Création de rapport sur analyse de données médiatique de plus de 200M de lignes nécessitant la mise en place de refresh incrémental.</t>
  </si>
  <si>
    <t>BI Consultant</t>
  </si>
  <si>
    <t>Audit of existing practices, support for the team in place to improve their skills in using Power BI. Implementation of best development practices around the Power BI tool (incremental refresh, aggregation, technical documentation, etc.). Creation of high-volume reports.</t>
  </si>
  <si>
    <t>Creation of template reports including best development practices to avoid starting from scratch when creating a report: on/off filter, filter reminder, calculation group, tooltip, best practices checklist. Creation of a report on media data analysis of over 200M lines requiring the implementation of incremental refresh.</t>
  </si>
  <si>
    <t>Teradata</t>
  </si>
  <si>
    <t>Création de requête pour récupérer les informations nécessaires à la création des rapports sous la direction d'un expert.</t>
  </si>
  <si>
    <t>Creation of queries to retrieve the necessary information for report creation under the direction of an expert.</t>
  </si>
  <si>
    <t>DIOR</t>
  </si>
  <si>
    <t>Développeur Consultant Power BI</t>
  </si>
  <si>
    <t>Création d'un rapport connecté sur des données d’analyse RH pour améliorer les process RH de la société dans un contexte UX/UI important.</t>
  </si>
  <si>
    <t>Vrai challenge UX sur le rapport qui contenait beaucoup de contrainte visuels.</t>
  </si>
  <si>
    <t>Power BI Consultant Developer</t>
  </si>
  <si>
    <t>Creation of a connected report on HR analysis data to improve the company's HR processes in an important UX/UI context.</t>
  </si>
  <si>
    <t>Real UX challenge on the report which contained many visual constraints.</t>
  </si>
  <si>
    <t>Animation d'atelier de dashboard driven conception pour la conception des rapports.</t>
  </si>
  <si>
    <t>Facilitation of dashboard-driven design workshops for report design.</t>
  </si>
  <si>
    <t>OCEANIS</t>
  </si>
  <si>
    <t>Mise en place d'une application Power Apps basée sur un SQL database Azure et utilisation de Power BI pour la restitution interactive de l’outil afin d’améliorer le suivi des budgets réels et prévisionnels.</t>
  </si>
  <si>
    <t>Réalisation du rapport de suivi</t>
  </si>
  <si>
    <t>Implementation of a Power Apps application based on an Azure SQL database and use of Power BI for interactive tool reporting to improve tracking of actual and forecasted budgets.</t>
  </si>
  <si>
    <t>Creation of the follow-up report</t>
  </si>
  <si>
    <t>Power Apps</t>
  </si>
  <si>
    <t>Accompagnement à la réalisation de l'application</t>
  </si>
  <si>
    <t>Support for application development</t>
  </si>
  <si>
    <t>Azure SQL Database</t>
  </si>
  <si>
    <t>Requêtage SQL pour obtenir les données</t>
  </si>
  <si>
    <t>SQL querying to obtain data</t>
  </si>
  <si>
    <t>ORANO</t>
  </si>
  <si>
    <t>Dans le cadre d'un POC : réalisation d'un rapport Power BI basé sur des fichiers stocké en format Parquet sur un Azure Datalake Store Gen 2 alimenté via du Synapse.</t>
  </si>
  <si>
    <t>Réalisation du support de restitution</t>
  </si>
  <si>
    <t>As part of a POC: creation of a Power BI report based on files stored in Parquet format on an Azure Datalake Store Gen 2 fed via Synapse.</t>
  </si>
  <si>
    <t>Creation of the reporting support</t>
  </si>
  <si>
    <t>Accompagné d'un expert : création de pipeline d'alimentation</t>
  </si>
  <si>
    <t>Accompanied by an expert: creation of data pipelines</t>
  </si>
  <si>
    <t>Azure Storage Explorer</t>
  </si>
  <si>
    <t>Utilisé pour déplacer les fichiers sources dans les repertoires de l'ADLS gen2</t>
  </si>
  <si>
    <t>Used to move source files into ADLS gen2 directories</t>
  </si>
  <si>
    <t>Rédaction du Bus Matrix, des spécification fonctionnelles et technique.</t>
  </si>
  <si>
    <t>Drafting of the Bus Matrix, functional and technical specifications.</t>
  </si>
  <si>
    <t>Démo client</t>
  </si>
  <si>
    <t>Animation de démonstration du projet au client</t>
  </si>
  <si>
    <t>Client Demo</t>
  </si>
  <si>
    <t>Facilitation of project demonstration to the client</t>
  </si>
  <si>
    <t>SONEPAR</t>
  </si>
  <si>
    <t>Audit et mise en place de la sécurité niveau des lignes sur un rapport Power BI RH Existant.</t>
  </si>
  <si>
    <t>Mise en place du RLS</t>
  </si>
  <si>
    <t>Audit and implementation of row-level security on an existing HR Power BI report.</t>
  </si>
  <si>
    <t>Implementation of RLS</t>
  </si>
  <si>
    <t>VINCI CONSTRUCTION</t>
  </si>
  <si>
    <t>Réalisation de 3 rapports Power BI pour améliorer le suivi des mises à jours et utilisation des applications de service de Vinci et accompagnement des utilisateurs.</t>
  </si>
  <si>
    <t>Réalisation des 3 rapports</t>
  </si>
  <si>
    <t>Creation of 3 Power BI reports to improve tracking of updates and use of Vinci service applications and user support.</t>
  </si>
  <si>
    <t>Creation of the 3 reports</t>
  </si>
  <si>
    <t>Réalisation des maquettes de rapport ainsi que des différents documents.</t>
  </si>
  <si>
    <t>Creation of report mockups and various documents.</t>
  </si>
  <si>
    <t>Animation d'atelier de design des rapport + présentation des résultats et accompagnement des utilisateurs</t>
  </si>
  <si>
    <t>Facilitation of report design workshops + presentation of results and user support</t>
  </si>
  <si>
    <t>FORMIRIS</t>
  </si>
  <si>
    <t>Développement d’un rapport basé sur Azure SQL Database pour gérer les formations et les formés.</t>
  </si>
  <si>
    <t>Création du rapport</t>
  </si>
  <si>
    <t>Development of a report based on Azure SQL Database to manage training and trainees.</t>
  </si>
  <si>
    <t>Creation of the report</t>
  </si>
  <si>
    <t>Utilisation pour requêter des bases de données</t>
  </si>
  <si>
    <t>Used for querying databases</t>
  </si>
  <si>
    <t>Animation d’ateliers de cadrage dashboard driven conception Mise en place et spécification des indicateurs Réalisation de recette et support du rapport Accompagnement à la reprise du produit final</t>
  </si>
  <si>
    <t>Facilitation of scoping workshops dashboard driven design Implementation and specification of indicators Testing and support of the report Support for the final product handover</t>
  </si>
  <si>
    <t>COLAS DIGITAL SOLUTION</t>
  </si>
  <si>
    <t>Consultant formateur Power BI</t>
  </si>
  <si>
    <t>Montée en compétences de l’équipe BI sur l’outil Power BI, réalisation de rapports, mise en place d’une communauté autour de l’outil. Sensibilisation aux bonnes pratiques Power BI Mise en place des process de déploiement des rapports Power BI Suivi des réalisations de reporting et pilotage de la capacité premium utilisée Réalisation de meetups et de tutoriels vidéo pour animer une communauté de plus de 400 membres Animation de workshops (création de rapports/rédaction de documentation associées : spécification technique et fonctionnel, cahier de recette etc.)</t>
  </si>
  <si>
    <t>Elaboration et diffusion des bonnes pratiques de l’utilisation de Power BI (capitalisation des connaissances, process de mise en prod, template dynamique, etc.) Accompagnement quotidien de l’équipe pour la faire monter en compétence, audit de leur rapports. Réalisation de 8 reporting : suivi des travaux pour colas Rail, suivi DevOps, catalogue de rapports, rapport de prix, Suivi de documentation etc.</t>
  </si>
  <si>
    <t>Power BI Consultant Trainer</t>
  </si>
  <si>
    <t>Upskilling the BI team on the Power BI tool, creating reports, setting up a community around the tool. Raising awareness of Power BI best practices Setting up Power BI report deployment processes Tracking reporting achievements and managing premium capacity used Organizing meetups and video tutorials to animate a community of over 400 members Facilitating workshops (creating reports/writing associated documentation: technical and functional specifications, test book, etc.)</t>
  </si>
  <si>
    <t>Development and dissemination of best practices for using Power BI (knowledge capitalization, production process, dynamic template, etc.) Daily support for the team to improve their skills, audit of their reports. Creation of 8 reports: tracking work for Colas Rail, DevOps tracking, report catalog, price report, documentation tracking, etc.</t>
  </si>
  <si>
    <t>Création de requêtes pour alimenter les rapports Power BI</t>
  </si>
  <si>
    <t>Creating queries to feed Power BI reports</t>
  </si>
  <si>
    <t>Camtasia</t>
  </si>
  <si>
    <t>Utilisation pour création de contenu vidéo techniques autour de Power BI.</t>
  </si>
  <si>
    <t>Used for creating technical video content around Power BI.</t>
  </si>
  <si>
    <t>Création et animation d’une communauté Power BI de plus de 400 personnes : meetup de nouveauté, vidéo d’astuce, accompagnement.</t>
  </si>
  <si>
    <t>Creation and animation of a Power BI community of over 400 people: novelty meetups, tip videos, support.</t>
  </si>
  <si>
    <t>Azure DevOps Board</t>
  </si>
  <si>
    <t>Utilisation pour suivre les projet (création et suivi des tâches principalement)</t>
  </si>
  <si>
    <t>Used to track projects (mainly task creation and tracking)</t>
  </si>
  <si>
    <t>GRT GAZ</t>
  </si>
  <si>
    <t>Consultant BI et Scrum Master</t>
  </si>
  <si>
    <t>Test de qualité de base de données, réalisation de rapports Power BI et accompagnement méthodologie Scrum : Création d’un outil Excel pour automatiser les tests Animation d’atelier de captation et cadrage de besoin de reporting Power BI selon la méthodologie Scrum et Kanban Intégration des données via SSIS et restitution avec Power BI Participation active à l’acculturation de l’entreprise pour l’adoption de l’outil Power BI en donnant des formations et animant une communauté interne Accompagnement agile du client en tant que Scrum master (rétrospectives, daily meeting…)</t>
  </si>
  <si>
    <t>Création de plusieurs rapports, dont des rapports support de formation.</t>
  </si>
  <si>
    <t>BI Consultant and Scrum Master</t>
  </si>
  <si>
    <t>Database quality testing, Power BI report creation and Scrum methodology support: Creation of an Excel tool to automate tests Facilitation of workshops to capture and frame Power BI reporting needs according to Scrum and Kanban methodology Data integration via SSIS and reporting with Power BI Active participation in the company's adoption of the Power BI tool by providing training and animating an internal community Agile support for the client as a Scrum master (retrospectives, daily meetings, etc.)</t>
  </si>
  <si>
    <t>Creation of several reports, including training support reports.</t>
  </si>
  <si>
    <t>SSMS (SQL Server 2008)</t>
  </si>
  <si>
    <t>SSIS</t>
  </si>
  <si>
    <t>Kahoot</t>
  </si>
  <si>
    <t>Testing</t>
  </si>
  <si>
    <t>EDF</t>
  </si>
  <si>
    <t>Stagiaire développeur BI</t>
  </si>
  <si>
    <t>Premières expérience professionnelle et découverte de la BI. Migration d’un système d’information des combustibles nucléaires (projet GessiK). Réalisation de flux d'alimentation via l'ETL Informatica.</t>
  </si>
  <si>
    <t>Informatica</t>
  </si>
  <si>
    <t>Développement de flux Informatica conformément aux cahiers des charges métiers et suivi des performances de chargement de la base</t>
  </si>
  <si>
    <t>BI Developer Intern</t>
  </si>
  <si>
    <t>First professional experience and discovery of BI. Migration of a nuclear fuel information system (GessiK project). Development of data flows via the Informatica ETL.</t>
  </si>
  <si>
    <t>Development of Informatica flows in accordance with business specifications and monitoring of database loading performance</t>
  </si>
  <si>
    <t>Oracle via Sql Developer</t>
  </si>
  <si>
    <t>Réalisation de requêtes Oracle pour l’alimentation</t>
  </si>
  <si>
    <t>Oracle queries for data feeding</t>
  </si>
  <si>
    <t>HP ALM</t>
  </si>
  <si>
    <t>Rédaction et exécution de plan de test via HP ALM</t>
  </si>
  <si>
    <t>Writing and executing test plans via HP ALM</t>
  </si>
  <si>
    <t>Documentation techniques</t>
  </si>
  <si>
    <t>Rédaction des spécifications techniques</t>
  </si>
  <si>
    <t>Technical Documentation</t>
  </si>
  <si>
    <t>Writing technical specifications</t>
  </si>
  <si>
    <t>ID Ligne</t>
  </si>
  <si>
    <t>Date du feedback</t>
  </si>
  <si>
    <t>Nom Prénom Feedback</t>
  </si>
  <si>
    <t>Rôle Feedback</t>
  </si>
  <si>
    <t>Nous avons travaillé ensemble, qu’as-tu apprécié ?</t>
  </si>
  <si>
    <t xml:space="preserve">Quels conseils me donnerais-tu pour la prochaine fois ?  </t>
  </si>
  <si>
    <t>Insiders</t>
  </si>
  <si>
    <t>RAIMBAULT Thomas</t>
  </si>
  <si>
    <t>Responsable de la dominante Entreprise du Futur</t>
  </si>
  <si>
    <t>Etudiant</t>
  </si>
  <si>
    <t>"Merci Matthieu pour ton dynamisme et de nous avoir transmis ton enthousiasme pour Power BI"</t>
  </si>
  <si>
    <t>Head of the Enterprise of the Future specialization</t>
  </si>
  <si>
    <t>Student</t>
  </si>
  <si>
    <t>"Thank you Matthieu for your dynamism and for sharing your enthusiasm for Power BI with us."</t>
  </si>
  <si>
    <t>"Avec ce module, j'ai pu découvrir l'outil puissant qu'est Power BI. Avoir le support d'un spécialiste du sujet est super intéressant. "</t>
  </si>
  <si>
    <t>"With this module, I was able to discover the powerful tool that is Power BI. Having the support of a subject specialist is super interesting."</t>
  </si>
  <si>
    <t>"C'est très intéressant surtout que je voulais me former sur power BI et maintenant j'ai clairement des début de compétences sur le logiciel que je vais pouvoir améliorer par la suite et appliquer cela en entreprise directement."</t>
  </si>
  <si>
    <t>"It's very interesting, especially since I wanted to train on Power BI, and now I clearly have some initial skills on the software that I will be able to improve later and apply directly in the company."</t>
  </si>
  <si>
    <t>"On a découvert un nouvel outil très intéressant à approfondir et les cours étaient captivant"</t>
  </si>
  <si>
    <t>"We discovered a new tool that is very interesting to delve into, and the courses were captivating."</t>
  </si>
  <si>
    <t>"Le reste du domaine et de l'apprentissage du BI ont été top. Je l'utiliserai dans l'avenir pour des besoins perso."</t>
  </si>
  <si>
    <t>"The rest of the domain and the BI learning have been great. I will use it in the future for personal needs."</t>
  </si>
  <si>
    <t>"L'outil est intéressant, utile, demandé professionnellement, agréable à utilisé et efficace. De plus, j'apprécie de travailler les données, donc j'ai beaucoup apprécié apprendre à utiliser cet outil."</t>
  </si>
  <si>
    <t>"The tool is interesting, useful, professionally demanded, pleasant to use, and efficient. Moreover, I enjoy working with data, so I really appreciated learning how to use this tool."</t>
  </si>
  <si>
    <t>"J'ai apprécié dévouvrir l'outil Power BI. Je pense pouvoir l'appliquer dans mes projets à venir et notamment en stage. J'ai particulièrement apprécié la création des graphiques qui se fait de manière plutôt intuitive et le fait d'avoir choisit le sujet du projet final. Enfin j'ai trouvé particulièrement intéressant le fait de pouvoir visualiser les données et d'en ressortir l'information en direct. "</t>
  </si>
  <si>
    <t>"I enjoyed discovering the Power BI tool. I think I can apply it in my upcoming projects, especially during my internship. I particularly appreciated the creation of graphs, which is quite intuitive, and the fact that we chose the topic for the final project. Finally, I found it particularly interesting to be able to visualize the data and extract information in real-time."</t>
  </si>
  <si>
    <t>SHAIK Firoz</t>
  </si>
  <si>
    <t>Talend Developer</t>
  </si>
  <si>
    <t>Pour ce deuxième projet avec vous, j'ai apprécié votre planification et le maintien d'un tableau de développement pour chaque élément, ainsi que la rapidité de vos réponses et de vos appels en cas de doute.</t>
  </si>
  <si>
    <t xml:space="preserve">Je suis impatient de travailler avec vous sur d'autres projets. </t>
  </si>
  <si>
    <t>This second Project Working with you i liked your planning and maintaing deveop board for Each item.and quick reply and connecting in call if i have any doubts.</t>
  </si>
  <si>
    <t> Looking forward to work with you on more projects </t>
  </si>
  <si>
    <t>NANDY Pritam</t>
  </si>
  <si>
    <t>Tech lead projet</t>
  </si>
  <si>
    <t>Vous avez très bien géré le projet. J'ai vraiment apprécié de travailler avec vous. En discutant des problèmes et des doutes des entreprises, vous avez toujours essayé de trouver des solutions. Vous êtes bon tant sur le plan technique que sur le plan de la gestion. Je vous souhaite le meilleur pour l'avenir.</t>
  </si>
  <si>
    <t xml:space="preserve"> Vous faites la plupart des choses correctement. 🙂 Vous pourriez peut-être vous concentrer davantage sur le rapprochement avec l'entreprise et travailler avec elle pour définir les exigences en détail afin que le projet soit achevé à temps. Vous êtes aussi un bourreau de travail et vous travaillez toujours tard 🙂 . </t>
  </si>
  <si>
    <t>You have managed the project very well. I have really enjoyed working with you. Discussing business problems and doubts, you have always tried to get solutions. You are good technically as well as managerially. Wish you the best for the future.</t>
  </si>
  <si>
    <r>
      <t xml:space="preserve"> You do most of the things right. </t>
    </r>
    <r>
      <rPr>
        <sz val="11"/>
        <color theme="1"/>
        <rFont val="Segoe UI Emoji"/>
        <family val="2"/>
      </rPr>
      <t>🙂</t>
    </r>
    <r>
      <rPr>
        <sz val="11"/>
        <color theme="1"/>
        <rFont val="Arial"/>
        <family val="2"/>
      </rPr>
      <t xml:space="preserve"> 1 thing may be you can focus more on getting more closer to the business and working with them to define the requirements in detail for the project to be completed in time. You are also a workoholic and always work late hours. </t>
    </r>
    <r>
      <rPr>
        <sz val="11"/>
        <color theme="1"/>
        <rFont val="Segoe UI Emoji"/>
        <family val="2"/>
      </rPr>
      <t>🙂</t>
    </r>
    <r>
      <rPr>
        <sz val="11"/>
        <color theme="1"/>
        <rFont val="Arial"/>
        <family val="2"/>
      </rPr>
      <t> </t>
    </r>
  </si>
  <si>
    <t xml:space="preserve">Matthieu RANCINIAN a un réel talent de formateur. Il a su, avec sympathie et en un temps contraint, bien enseigner et faire aimer à un plus grand nombre les principes et bonnes pratiques de la BI (avec MS Power BI) auprès des étudiants de la spécialisation "Entreprise du futur" à l'EIGSI, école d'ingénieurs généralistes à La Rochelle. </t>
  </si>
  <si>
    <t>Matthieu RANCINIAN est un perfectionniste qui s'investit à fond dans sa tâche. Cette qualité peut, si mal exploitée, être consommatrice de temps.</t>
  </si>
  <si>
    <t xml:space="preserve">Matthieu RANCINIAN has a real talent for training. In a short space of time, he was able to teach the principles and best practices of BI (with MS Power BI) to students in the “Enterprise of the Future” specialization at EIGSI, a general engineering school in La Rochelle. </t>
  </si>
  <si>
    <t>Matthieu RANCINIAN is a perfectionist who puts his heart and soul into his work. This quality can be time-consuming if not properly exploited.</t>
  </si>
  <si>
    <t>F-Bénévolat et activités associatives</t>
  </si>
  <si>
    <t>Association</t>
  </si>
  <si>
    <t>Description</t>
  </si>
  <si>
    <t>Lien</t>
  </si>
  <si>
    <t>HomePageVieworder Hobbies significative</t>
  </si>
  <si>
    <t xml:space="preserve"> SGDF </t>
  </si>
  <si>
    <t>Référent animation d'un week-end campé de 3 jours à 1000</t>
  </si>
  <si>
    <t>J’ai assuré la conception et la coordination des animations d’un week-end exceptionnel rassemblant plus de 700 jeunes de 6 à 17 ans.</t>
  </si>
  <si>
    <t>Recrutement et pilotage d’une équipe d’animateurs dédiée
Création de l’univers narratif du week-end, fil conducteur immersif de toutes les activités
Conception de quatre temps forts :
- 2 grandes veillées mêlant chorégraphies, jeux et chants
- 1 village d’activités : rédaction de fiches complètes et mobilisation de 150+ animateurs pour animer près de 175 stands
- Olympiades sportives en simultané : organisation de 70 équipes de 10 joueurs s’affrontant sur un même jeu répliqué 35 fois. Déploiement d’un système de comptage des scores semi–temps réel via Microsoft Forms et Power BI</t>
  </si>
  <si>
    <t>https://www.youtube.com/watch?v=r8r96tTLTeU</t>
  </si>
  <si>
    <t>Activities Coordinator for a 3-Day Camping Weekend</t>
  </si>
  <si>
    <t>Led the end-to-end design and coordination of programming for a large-scale weekend event with over 700 participants aged 6 to 17.</t>
  </si>
  <si>
    <t xml:space="preserve">
Recruited and managed a team of facilitators to support activity execution
Crafted the narrative theme for the weekend, creating an engaging story arc that unified all events
Developed four major programs:
- 2 immersive evening shows including choreography, games, and musical moments
- 1 large-scale activity fair: authored detailed activity guides and oversaw the recruitment of 150+ volunteers to run nearly 175 stations
- Olympic-style tournament: designed a simultaneous competition involving 70 teams of 10, across 35 replicated game zones. Designed a semi–real-time scoring system using Microsoft Forms and Power BI to manage results efficiently</t>
  </si>
  <si>
    <t xml:space="preserve"> 19/12/2024 </t>
  </si>
  <si>
    <t xml:space="preserve"> Club Power BI </t>
  </si>
  <si>
    <t>Animateur du meetup de Noël 2024 : escape game Power BI</t>
  </si>
  <si>
    <t xml:space="preserve">Animation du mythique meetup de Noël du club avec Thomas Berriau. Nous avons rythmé le meetup avec 3 invités : Jean-Pierre Riehl, Gaelle Leclercq et Anaïs Mokdad. </t>
  </si>
  <si>
    <t xml:space="preserve">Nous avons pour cela créé un escape game sur Power BI. Lien vers la com linkedin : https://www.linkedin.com/feed/update/urn:li:activity:7275786335280349184 </t>
  </si>
  <si>
    <t xml:space="preserve">https://app.powerbi.com/view?r=eyJrIjoiODg5NTMwZjItY2MxMS00N2U2LTk4ZTEtYTZlOTYxNjc3ZjAxIiwidCI6Ijk1MWQxZWNhLTk2MGYtNDUwMS05MGY4LThkN2RhYjM0NjBkNiIsImMiOjh9 </t>
  </si>
  <si>
    <t>Host of the 2024 Christmas Meetup: Power BI Escape Game</t>
  </si>
  <si>
    <t>I co-hosted the legendary Christmas meetup of the club with Thomas Berriau. We energized the session with three special guests: Jean-Pierre Riehl, Gaelle Leclercq, and Anaïs Mokdad.</t>
  </si>
  <si>
    <t>To spice things up, we created an escape game built around Power BI. Link to the LinkedIn post: https://www.linkedin.com/feed/update/urn:li:activity:7275786335280349184 Power BI</t>
  </si>
  <si>
    <t xml:space="preserve"> 01/09/2024 </t>
  </si>
  <si>
    <t xml:space="preserve"> 15/11/2024 </t>
  </si>
  <si>
    <t xml:space="preserve"> Producteur du mois de la formation </t>
  </si>
  <si>
    <t xml:space="preserve"> Producteur du premier thème de la saison 9 sur la formation à Power BI </t>
  </si>
  <si>
    <t xml:space="preserve"> - Planification des différents moments du mois - Organisation des réunions de travail avec les 4 autres membres - Participation aux meetups en tant que speaker et animateur - Réalisation du rapport Power BI de synthèse des résultats du quizz et de la liste des supports de formation. </t>
  </si>
  <si>
    <t xml:space="preserve"> Training Month Producer </t>
  </si>
  <si>
    <t xml:space="preserve"> Producer of the first theme of season 9 on Power BI training </t>
  </si>
  <si>
    <t xml:space="preserve"> - Planning of different moments during the month - Organizing working meetings with the 4 other members - Participation in meetups as a speaker and moderator - Creation of the Power BI report summarizing quiz results and training materials list. </t>
  </si>
  <si>
    <t xml:space="preserve"> 01/09/2023 </t>
  </si>
  <si>
    <t xml:space="preserve"> 01/07/2024 </t>
  </si>
  <si>
    <t xml:space="preserve"> Organisateur du club </t>
  </si>
  <si>
    <t xml:space="preserve"> Organisateur et speaker au sein du club Power BI </t>
  </si>
  <si>
    <t xml:space="preserve"> - Organisation d'un meetup en présentiel sur la cartographie - Régisseur sur un meetup de Bordeaux et sur quelques émissions </t>
  </si>
  <si>
    <t xml:space="preserve"> Club Organizer </t>
  </si>
  <si>
    <t xml:space="preserve"> Organizer and speaker within the Power BI club </t>
  </si>
  <si>
    <t xml:space="preserve"> - Organized an in-person meetup on mapping - Stage manager for a Bordeaux meetup and several broadcasts </t>
  </si>
  <si>
    <t xml:space="preserve"> 01/09/2022 </t>
  </si>
  <si>
    <t xml:space="preserve"> - Organisation de 2 meetups en présentiel à Paris pour le club : 1 sur la gestion des pièges à éviter pour améliorer la qualité de ses rapports et un Rex Danone Data culture - Régisseur pour plusieurs émissions ainsi qu'un hors-série spécial sur Fabric - Participation d'1 jour à la Tournée du club (à Lyon). </t>
  </si>
  <si>
    <t xml:space="preserve"> - Organized 2 in-person meetups in Paris for the club: 1 on managing pitfalls to improve report quality and a Rex Danone Data culture - Stage manager for several broadcasts, including a special episode on Fabric - 1-day participation in the club tour (in Lyon). </t>
  </si>
  <si>
    <t xml:space="preserve"> 01/04/2022 </t>
  </si>
  <si>
    <t xml:space="preserve"> 10/04/2022 </t>
  </si>
  <si>
    <t xml:space="preserve"> Perso </t>
  </si>
  <si>
    <t xml:space="preserve"> Développeur Power BI </t>
  </si>
  <si>
    <t xml:space="preserve"> Rapport Power BI sur les ventes des valeurs immobilières en France </t>
  </si>
  <si>
    <t xml:space="preserve"> Personal </t>
  </si>
  <si>
    <t xml:space="preserve"> Power BI Developer </t>
  </si>
  <si>
    <t xml:space="preserve"> Power BI report on real estate sales in France </t>
  </si>
  <si>
    <t xml:space="preserve"> Responsable pôle formation </t>
  </si>
  <si>
    <t xml:space="preserve"> Responsable des formations pour le territoire Boucles de la Seine </t>
  </si>
  <si>
    <t xml:space="preserve"> - Organisation et réalisation de formations </t>
  </si>
  <si>
    <t xml:space="preserve"> Training Manager </t>
  </si>
  <si>
    <t xml:space="preserve"> Responsible for training in the Boucles de la Seine area </t>
  </si>
  <si>
    <t xml:space="preserve"> - Organization and delivery of training </t>
  </si>
  <si>
    <t xml:space="preserve"> 01/09/2019 </t>
  </si>
  <si>
    <t xml:space="preserve"> Responsable du groupe de Houilles </t>
  </si>
  <si>
    <t xml:space="preserve"> Responsable d'un groupe de scouts et guides de France de plus de 180 enfants en binôme avec ma femme et 2 autres adultes. </t>
  </si>
  <si>
    <t xml:space="preserve"> - Organisation d'activités type week-end campés, jeux de piste, spectacles pour le groupe - Accompagnement des "chefs et cheftaines" (adultes encadrant les enfants) pour leur permettre de progresser et toujours apporter le meilleur aux enfants - Gestion des conflits notamment pendant la crise du Covid. </t>
  </si>
  <si>
    <t xml:space="preserve"> Group Leader </t>
  </si>
  <si>
    <t xml:space="preserve"> Leader of a Scouts and Guides of France group of over 180 children, alongside my wife and 2 other adults. </t>
  </si>
  <si>
    <t xml:space="preserve"> - Organizing activities such as weekend camps, treasure hunts, shows for the group - Supporting "chefs et cheftaines" (adult supervisors) to help them progress and always provide the best experience for the children - Managing conflicts, especially during the Covid crisis. </t>
  </si>
  <si>
    <t xml:space="preserve"> Formateur Bafa </t>
  </si>
  <si>
    <t xml:space="preserve"> Formateur pour délivrer des avis au Brevet d'Aptitude à la Fonction d'Animateur Base et approfondissement pour permettre à des jeunes de partir en camps avec des chefs formés et vivre des temps de qualité. </t>
  </si>
  <si>
    <t xml:space="preserve"> - Formation Approfondissement et Base, campé pour la plupart à Jambville, base scoute du mouvement. - Formation pour les responsables de groupes </t>
  </si>
  <si>
    <t xml:space="preserve"> Bafa Trainer </t>
  </si>
  <si>
    <t xml:space="preserve"> Trainer for the Brevet d'Aptitude à la Fonction d'Animateur (BAFA), Base and Advanced training to enable young people to attend camps with trained leaders and have quality experiences. </t>
  </si>
  <si>
    <t xml:space="preserve"> - Base and Advanced training, mostly held at Jambville, the scout base of the movement. - Training for group leaders </t>
  </si>
  <si>
    <t>Continuous improvement of materials to meet client needs.</t>
  </si>
  <si>
    <t>Led a series of Power BI training sessions to establish a Center of Excellence and drive adoption of the tool.</t>
  </si>
  <si>
    <t>https://mattrv.blob.core.windows.net/curriculum/LogoClient/Logo_GRDF.png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</si>
</sst>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1"/>
      <name val="Calibri"/>
      <family val="2"/>
      <scheme val="minor"/>
    </font>
    <font>
      <b/>
      <sz val="16"/>
      <color theme="1"/>
      <name val="Calibri"/>
      <family val="2"/>
      <scheme val="minor"/>
    </font>
    <font>
      <b/>
      <sz val="11"/>
      <color theme="0"/>
      <name val="Calibri"/>
      <family val="2"/>
      <scheme val="minor"/>
    </font>
    <font>
      <u/>
      <sz val="11"/>
      <color theme="10"/>
      <name val="Calibri"/>
      <family val="2"/>
      <scheme val="minor"/>
    </font>
    <font>
      <sz val="8"/>
      <color rgb="FF333333"/>
      <name val="Arial"/>
      <family val="2"/>
    </font>
    <font>
      <sz val="11"/>
      <color theme="1"/>
      <name val="-Apple-System"/>
      <charset val="1"/>
    </font>
    <font>
      <sz val="11"/>
      <color theme="1"/>
      <name val="Arial"/>
      <family val="2"/>
    </font>
    <font>
      <sz val="11"/>
      <color theme="1"/>
      <name val="Segoe UI Emoji"/>
      <family val="2"/>
    </font>
    <font>
      <sz val="10"/>
      <color rgb="FF28363C"/>
      <name val="Consolas"/>
      <family val="3"/>
    </font>
    <font>
      <sz val="8"/>
      <name val="Calibri"/>
      <family val="2"/>
      <scheme val="minor"/>
    </font>
    <font>
      <sz val="11"/>
      <color rgb="FF292929"/>
      <name val="Arial"/>
      <family val="2"/>
    </font>
    <font>
      <sz val="12"/>
      <color rgb="FFE8EAED"/>
      <name val="Arial"/>
      <family val="2"/>
    </font>
    <font>
      <sz val="11"/>
      <color rgb="FF28363C"/>
      <name val="Neue Helvetica BQ Light"/>
    </font>
    <font>
      <sz val="9"/>
      <color rgb="FF292929"/>
      <name val="Arial"/>
      <family val="2"/>
    </font>
    <font>
      <sz val="11"/>
      <color rgb="FF242424"/>
      <name val="Aptos Narrow"/>
      <charset val="1"/>
    </font>
  </fonts>
  <fills count="6">
    <fill>
      <patternFill patternType="none"/>
    </fill>
    <fill>
      <patternFill patternType="gray125"/>
    </fill>
    <fill>
      <patternFill patternType="solid">
        <fgColor rgb="FFFFFF0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FFFFFF"/>
        <bgColor indexed="64"/>
      </patternFill>
    </fill>
  </fills>
  <borders count="13">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style="thin">
        <color theme="4" tint="0.39997558519241921"/>
      </right>
      <top/>
      <bottom/>
      <diagonal/>
    </border>
    <border>
      <left style="thin">
        <color theme="4" tint="0.39997558519241921"/>
      </left>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theme="4" tint="0.39997558519241921"/>
      </left>
      <right/>
      <top/>
      <bottom style="thin">
        <color theme="4" tint="0.39997558519241921"/>
      </bottom>
      <diagonal/>
    </border>
  </borders>
  <cellStyleXfs count="2">
    <xf numFmtId="0" fontId="0" fillId="0" borderId="0"/>
    <xf numFmtId="0" fontId="4" fillId="0" borderId="0" applyNumberFormat="0" applyFill="0" applyBorder="0" applyAlignment="0" applyProtection="0"/>
  </cellStyleXfs>
  <cellXfs count="47">
    <xf numFmtId="0" fontId="0" fillId="0" borderId="0" xfId="0"/>
    <xf numFmtId="0" fontId="1" fillId="0" borderId="0" xfId="0" applyFont="1"/>
    <xf numFmtId="0" fontId="0" fillId="2" borderId="0" xfId="0" applyFill="1"/>
    <xf numFmtId="0" fontId="3" fillId="3" borderId="1" xfId="0" applyFont="1" applyFill="1" applyBorder="1"/>
    <xf numFmtId="0" fontId="0" fillId="4" borderId="1" xfId="0" applyFill="1" applyBorder="1"/>
    <xf numFmtId="0" fontId="3" fillId="3" borderId="0" xfId="0" applyFont="1" applyFill="1"/>
    <xf numFmtId="0" fontId="0" fillId="0" borderId="0" xfId="0" applyAlignment="1">
      <alignment wrapText="1"/>
    </xf>
    <xf numFmtId="0" fontId="0" fillId="0" borderId="0" xfId="0" applyAlignment="1">
      <alignment vertical="center" wrapText="1"/>
    </xf>
    <xf numFmtId="0" fontId="3" fillId="3" borderId="3" xfId="0" applyFont="1" applyFill="1" applyBorder="1"/>
    <xf numFmtId="0" fontId="4" fillId="0" borderId="0" xfId="1" applyAlignment="1">
      <alignment wrapText="1"/>
    </xf>
    <xf numFmtId="14" fontId="0" fillId="0" borderId="0" xfId="0" applyNumberFormat="1" applyAlignment="1">
      <alignment vertical="center" wrapText="1"/>
    </xf>
    <xf numFmtId="49" fontId="0" fillId="0" borderId="0" xfId="0" quotePrefix="1" applyNumberFormat="1" applyAlignment="1">
      <alignment wrapText="1"/>
    </xf>
    <xf numFmtId="0" fontId="3" fillId="3" borderId="4" xfId="0" applyFont="1" applyFill="1" applyBorder="1"/>
    <xf numFmtId="0" fontId="0" fillId="4" borderId="5" xfId="0" applyFill="1" applyBorder="1"/>
    <xf numFmtId="0" fontId="0" fillId="0" borderId="5" xfId="0" applyBorder="1"/>
    <xf numFmtId="0" fontId="5" fillId="0" borderId="0" xfId="0" applyFont="1"/>
    <xf numFmtId="0" fontId="0" fillId="0" borderId="1" xfId="0" applyBorder="1"/>
    <xf numFmtId="14" fontId="0" fillId="0" borderId="0" xfId="0" applyNumberFormat="1"/>
    <xf numFmtId="0" fontId="0" fillId="0" borderId="2" xfId="0" applyBorder="1"/>
    <xf numFmtId="0" fontId="6" fillId="0" borderId="0" xfId="0" applyFont="1" applyAlignment="1">
      <alignment wrapText="1"/>
    </xf>
    <xf numFmtId="0" fontId="0" fillId="0" borderId="7" xfId="0" applyBorder="1"/>
    <xf numFmtId="0" fontId="1" fillId="0" borderId="9" xfId="0" applyFont="1" applyBorder="1"/>
    <xf numFmtId="0" fontId="1" fillId="0" borderId="10" xfId="0" applyFont="1" applyBorder="1"/>
    <xf numFmtId="0" fontId="1" fillId="0" borderId="11" xfId="0" applyFont="1" applyBorder="1"/>
    <xf numFmtId="16" fontId="0" fillId="0" borderId="6" xfId="0" applyNumberFormat="1" applyBorder="1"/>
    <xf numFmtId="0" fontId="4" fillId="0" borderId="8" xfId="1" applyBorder="1"/>
    <xf numFmtId="0" fontId="4" fillId="0" borderId="0" xfId="1"/>
    <xf numFmtId="0" fontId="4" fillId="4" borderId="0" xfId="1" applyFill="1"/>
    <xf numFmtId="0" fontId="4" fillId="4" borderId="1" xfId="1" applyFill="1" applyBorder="1"/>
    <xf numFmtId="0" fontId="3" fillId="3" borderId="12" xfId="0" applyFont="1" applyFill="1" applyBorder="1"/>
    <xf numFmtId="14" fontId="0" fillId="0" borderId="0" xfId="0" applyNumberFormat="1" applyAlignment="1">
      <alignment wrapText="1"/>
    </xf>
    <xf numFmtId="0" fontId="9" fillId="0" borderId="0" xfId="0" applyFont="1" applyAlignment="1">
      <alignment vertical="center" readingOrder="1"/>
    </xf>
    <xf numFmtId="0" fontId="9" fillId="5" borderId="0" xfId="0" applyFont="1" applyFill="1" applyAlignment="1">
      <alignment vertical="center" readingOrder="1"/>
    </xf>
    <xf numFmtId="0" fontId="3" fillId="3" borderId="0" xfId="0" applyFont="1" applyFill="1" applyAlignment="1">
      <alignment wrapText="1"/>
    </xf>
    <xf numFmtId="0" fontId="3" fillId="3" borderId="1" xfId="0" applyFont="1" applyFill="1" applyBorder="1" applyAlignment="1">
      <alignment wrapText="1"/>
    </xf>
    <xf numFmtId="14" fontId="0" fillId="4" borderId="1" xfId="0" applyNumberFormat="1" applyFill="1" applyBorder="1" applyAlignment="1">
      <alignment wrapText="1"/>
    </xf>
    <xf numFmtId="0" fontId="11" fillId="0" borderId="0" xfId="0" applyFont="1" applyAlignment="1">
      <alignment wrapText="1"/>
    </xf>
    <xf numFmtId="0" fontId="3" fillId="3" borderId="3" xfId="0" applyFont="1" applyFill="1" applyBorder="1" applyAlignment="1">
      <alignment wrapText="1"/>
    </xf>
    <xf numFmtId="0" fontId="12" fillId="0" borderId="0" xfId="0" applyFont="1"/>
    <xf numFmtId="0" fontId="13" fillId="0" borderId="0" xfId="0" applyFont="1" applyAlignment="1">
      <alignment vertical="center" wrapText="1"/>
    </xf>
    <xf numFmtId="14" fontId="13" fillId="0" borderId="0" xfId="0" applyNumberFormat="1" applyFont="1" applyAlignment="1">
      <alignment wrapText="1"/>
    </xf>
    <xf numFmtId="0" fontId="13" fillId="0" borderId="0" xfId="0" applyFont="1" applyAlignment="1">
      <alignment wrapText="1"/>
    </xf>
    <xf numFmtId="0" fontId="0" fillId="0" borderId="1" xfId="0" applyBorder="1" applyAlignment="1">
      <alignment wrapText="1"/>
    </xf>
    <xf numFmtId="0" fontId="14" fillId="0" borderId="0" xfId="0" applyFont="1"/>
    <xf numFmtId="0" fontId="14" fillId="0" borderId="0" xfId="0" applyFont="1" applyAlignment="1">
      <alignment wrapText="1"/>
    </xf>
    <xf numFmtId="0" fontId="15" fillId="0" borderId="0" xfId="0" applyFont="1"/>
    <xf numFmtId="0" fontId="2" fillId="0" borderId="0" xfId="0" applyFont="1" applyAlignment="1">
      <alignment horizontal="center"/>
    </xf>
  </cellXfs>
  <cellStyles count="2">
    <cellStyle name="Lien hypertexte" xfId="1" builtinId="8"/>
    <cellStyle name="Normal" xfId="0" builtinId="0"/>
  </cellStyles>
  <dxfs count="70">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numFmt numFmtId="19" formatCode="dd/mm/yyyy"/>
      <fill>
        <patternFill patternType="none">
          <fgColor indexed="64"/>
          <bgColor auto="1"/>
        </patternFill>
      </fill>
      <border diagonalUp="0" diagonalDown="0" outline="0">
        <left/>
        <right/>
        <top style="thin">
          <color theme="4" tint="0.39997558519241921"/>
        </top>
        <bottom style="thin">
          <color theme="4" tint="0.39997558519241921"/>
        </bottom>
      </border>
    </dxf>
    <dxf>
      <numFmt numFmtId="19" formatCode="dd/mm/yy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none">
          <fgColor indexed="64"/>
          <bgColor auto="1"/>
        </patternFill>
      </fill>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19" formatCode="dd/mm/yyyy"/>
      <alignment horizontal="general" vertical="bottom" textRotation="0" wrapText="1" indent="0" justifyLastLine="0" shrinkToFit="0" readingOrder="0"/>
    </dxf>
    <dxf>
      <numFmt numFmtId="19" formatCode="dd/mm/yyyy"/>
      <alignment horizontal="general" vertical="bottom" textRotation="0" wrapText="1" indent="0" justifyLastLine="0" shrinkToFit="0" readingOrder="0"/>
    </dxf>
    <dxf>
      <numFmt numFmtId="19" formatCode="dd/mm/yyyy"/>
      <alignment horizontal="general" vertical="bottom" textRotation="0" wrapText="1" indent="0" justifyLastLine="0" shrinkToFit="0" readingOrder="0"/>
    </dxf>
    <dxf>
      <numFmt numFmtId="19" formatCode="dd/mm/yyyy"/>
      <alignment horizontal="general" vertical="bottom" textRotation="0" wrapText="1" indent="0" justifyLastLine="0" shrinkToFit="0" readingOrder="0"/>
    </dxf>
    <dxf>
      <numFmt numFmtId="19" formatCode="dd/mm/yyyy"/>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numFmt numFmtId="19" formatCode="dd/mm/yyyy"/>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numFmt numFmtId="19" formatCode="dd/mm/yyyy"/>
      <alignment horizontal="general" vertical="bottom" textRotation="0" wrapText="1" indent="0" justifyLastLine="0" shrinkToFit="0" readingOrder="0"/>
    </dxf>
    <dxf>
      <numFmt numFmtId="19" formatCode="dd/mm/yyyy"/>
      <alignment horizontal="general" vertical="bottom" textRotation="0" wrapText="1" indent="0" justifyLastLine="0" shrinkToFit="0" readingOrder="0"/>
    </dxf>
    <dxf>
      <numFmt numFmtId="19" formatCode="dd/mm/yyyy"/>
      <alignment horizontal="general" vertical="bottom" textRotation="0" wrapText="1" indent="0" justifyLastLine="0" shrinkToFit="0" readingOrder="0"/>
    </dxf>
    <dxf>
      <border outline="0">
        <top style="thin">
          <color theme="4" tint="0.39997558519241921"/>
        </top>
      </border>
    </dxf>
    <dxf>
      <alignment horizontal="general" vertical="bottom"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9" formatCode="dd/mm/yyyy"/>
      <fill>
        <patternFill patternType="none">
          <fgColor indexed="64"/>
          <bgColor auto="1"/>
        </patternFill>
      </fill>
    </dxf>
    <dxf>
      <numFmt numFmtId="19" formatCode="dd/mm/yyyy"/>
    </dxf>
    <dxf>
      <border outline="0">
        <top style="thin">
          <color theme="4" tint="0.39997558519241921"/>
        </top>
      </border>
    </dxf>
    <dxf>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diagonalUp="0" diagonalDown="0">
        <left style="thin">
          <color rgb="FF000000"/>
        </left>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alignment wrapText="1"/>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wrapText="1"/>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9" formatCode="dd/mm/yyyy"/>
      <fill>
        <patternFill patternType="none">
          <fgColor indexed="64"/>
          <bgColor auto="1"/>
        </patternFill>
      </fill>
    </dxf>
    <dxf>
      <numFmt numFmtId="19" formatCode="dd/mm/yyyy"/>
      <fill>
        <patternFill patternType="none">
          <fgColor indexed="64"/>
          <bgColor auto="1"/>
        </patternFill>
      </fill>
    </dxf>
    <dxf>
      <font>
        <b val="0"/>
        <i val="0"/>
        <strike val="0"/>
        <condense val="0"/>
        <extend val="0"/>
        <outline val="0"/>
        <shadow val="0"/>
        <u val="none"/>
        <vertAlign val="baseline"/>
        <sz val="10"/>
        <color rgb="FF28363C"/>
        <name val="Consolas"/>
        <family val="3"/>
        <scheme val="none"/>
      </font>
      <alignment horizontal="general" vertical="center" textRotation="0" wrapText="0" indent="0" justifyLastLine="0" shrinkToFit="0" readingOrder="1"/>
    </dxf>
    <dxf>
      <font>
        <sz val="10"/>
        <color rgb="FF28363C"/>
        <name val="Consolas"/>
        <family val="3"/>
        <scheme val="none"/>
      </font>
      <fill>
        <patternFill patternType="none">
          <fgColor indexed="64"/>
          <bgColor auto="1"/>
        </patternFill>
      </fill>
      <alignment horizontal="general" vertical="center" textRotation="0" wrapText="0" indent="0" justifyLastLine="0" shrinkToFit="0" readingOrder="1"/>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Matthieu RANCINAN VENDEVILLE" id="{7369C49C-0DCF-48AC-BB72-3FB2B3983F25}" userId="S::matthieu.vendeville@avanade.com::9b99d1e9-7770-4a44-a4a4-e942b69d6f9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61ADE01-1210-4D58-A56E-E29E92B05EF9}" name="Home_Page" displayName="Home_Page" ref="A1:J3" totalsRowShown="0" dataDxfId="53">
  <autoFilter ref="A1:J3" xr:uid="{561ADE01-1210-4D58-A56E-E29E92B05EF9}"/>
  <tableColumns count="10">
    <tableColumn id="9" xr3:uid="{5A778756-A274-4E1A-A470-5DBDCF91C33E}" name="Prénom Nom" dataDxfId="52"/>
    <tableColumn id="10" xr3:uid="{ADD71A7D-F54C-42FF-8197-3A6D4518317B}" name="Langue" dataDxfId="51"/>
    <tableColumn id="1" xr3:uid="{3985097E-4566-43A1-A7B7-289DA87602F9}" name="Home Page : Description principale" dataDxfId="50"/>
    <tableColumn id="8" xr3:uid="{4A424154-A19A-4879-A23E-BE7A39AA62F3}" name="Rôle actuel" dataDxfId="49"/>
    <tableColumn id="6" xr3:uid="{8B05B423-E1F6-4683-B436-6B9B16444618}" name="Date de naissance" dataDxfId="48"/>
    <tableColumn id="2" xr3:uid="{481A5CD5-F677-4BD4-9A93-9BE8D2527302}" name="Tel" dataDxfId="47"/>
    <tableColumn id="3" xr3:uid="{375049CF-6FFA-4C54-8419-EEC1A6063EBD}" name="Mail" dataDxfId="46" dataCellStyle="Normal"/>
    <tableColumn id="4" xr3:uid="{0E9DA017-26F3-4D78-AB88-88CAA49C4B9C}" name="Linkedin" dataDxfId="45"/>
    <tableColumn id="5" xr3:uid="{558533ED-562C-404F-BF3C-0D536C96EF14}" name="X" dataDxfId="44"/>
    <tableColumn id="7" xr3:uid="{7047E776-2917-412D-8350-3A2F65C317C0}" name="Photo" dataDxfId="4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17D9FD-1D41-4BE4-B77D-20DAE31F517B}" name="Client_DomaineFonctionnel" displayName="Client_DomaineFonctionnel" ref="A3:F49" totalsRowShown="0">
  <autoFilter ref="A3:F49" xr:uid="{6F17D9FD-1D41-4BE4-B77D-20DAE31F517B}"/>
  <tableColumns count="6">
    <tableColumn id="1" xr3:uid="{25D3DEE1-1ED3-4559-B828-0D66B1839CA4}" name="Nom"/>
    <tableColumn id="7" xr3:uid="{84A153B6-F179-4608-A6FB-5D8CAAA33FEF}" name="Langue"/>
    <tableColumn id="2" xr3:uid="{28853E56-6B06-411D-93F3-4DF4C0B0CF82}" name="Logo Client"/>
    <tableColumn id="3" xr3:uid="{CCB76A6F-9121-4B5B-B21A-4AB8C33599E5}" name="Lieu Client"/>
    <tableColumn id="4" xr3:uid="{B2B71ABF-BAAA-4EE7-B1FC-544E6EA5D4DC}" name="Domaine fonctionnel"/>
    <tableColumn id="5" xr3:uid="{07CAC6A5-D441-4E8D-8ED2-4824E23EE9F3}" name="Logo Domai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09C13F-1CF1-468A-A9F7-A0D3B4646823}" name="Associations" displayName="Associations" ref="H3:J6" totalsRowShown="0">
  <autoFilter ref="H3:J6" xr:uid="{D609C13F-1CF1-468A-A9F7-A0D3B4646823}"/>
  <tableColumns count="3">
    <tableColumn id="1" xr3:uid="{B7655969-2BD1-4FD3-A678-BB6A3AE77673}" name="Nom"/>
    <tableColumn id="2" xr3:uid="{8C1A6933-A37A-453D-8BD1-04017D292DDA}" name="Logo Assos"/>
    <tableColumn id="3" xr3:uid="{2C4BB4DD-B869-4965-A02E-B485E5C50727}" name="Lieu Asso"/>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8A4B219-4D05-4462-A717-DDF14C49232A}" name="Employeur_Formation" displayName="Employeur_Formation" ref="M3:O9" totalsRowShown="0">
  <autoFilter ref="M3:O9" xr:uid="{08A4B219-4D05-4462-A717-DDF14C49232A}"/>
  <tableColumns count="3">
    <tableColumn id="1" xr3:uid="{3F6A5B46-C787-4A19-9E2E-8BFB6B044B3D}" name="Nom" dataDxfId="42"/>
    <tableColumn id="2" xr3:uid="{095672FA-0BB7-4EDE-B6A9-DE59CDB65E51}" name="Logo Employeur"/>
    <tableColumn id="3" xr3:uid="{A6F4CF02-4BE9-406C-B7FA-7058584AC132}" name="Lieu Employeu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2FBBCA-B4F5-4548-B4B6-292DA82B591C}" name="Langue" displayName="Langue" ref="Q3:T9" totalsRowShown="0">
  <autoFilter ref="Q3:T9" xr:uid="{232FBBCA-B4F5-4548-B4B6-292DA82B591C}"/>
  <tableColumns count="4">
    <tableColumn id="1" xr3:uid="{97AD832B-F051-405D-97A3-3675D1B951EF}" name="Code Langue"/>
    <tableColumn id="4" xr3:uid="{B9A1D112-918F-4F28-A94C-B2BE27426620}" name="Langue"/>
    <tableColumn id="2" xr3:uid="{BF9173AB-8EB3-448B-950B-4044CCEDA5FA}" name="Image Drapeau Langue"/>
    <tableColumn id="3" xr3:uid="{4B92449E-C63A-434A-BD05-295200CE2745}" name="Level/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B8DA460-D258-4A7A-8FD0-38CEF428F97C}" name="Background" displayName="Background" ref="H13:K18" totalsRowShown="0" headerRowDxfId="41" headerRowBorderDxfId="40" tableBorderDxfId="39" totalsRowBorderDxfId="38">
  <autoFilter ref="H13:K18" xr:uid="{2B8DA460-D258-4A7A-8FD0-38CEF428F97C}"/>
  <tableColumns count="4">
    <tableColumn id="1" xr3:uid="{6D6CD04F-171F-491A-AAD7-F74A8A389E2A}" name="Période" dataDxfId="37"/>
    <tableColumn id="2" xr3:uid="{DC9E3950-04EB-4C05-8405-E9E61DE79D59}" name="Date début" dataDxfId="36"/>
    <tableColumn id="3" xr3:uid="{213125DE-23B5-4FE7-87A2-A6F83C9B2BBC}" name="Date fin" dataDxfId="35"/>
    <tableColumn id="4" xr3:uid="{B88380FE-0B8F-4EDC-BAF3-23083972BEC6}" name="URL Background" dataDxfId="3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802D32A-2F96-4001-9198-88C4931245D0}" name="Type_Solution" displayName="Type_Solution" ref="M21:O25" totalsRowShown="0">
  <autoFilter ref="M21:O25" xr:uid="{7802D32A-2F96-4001-9198-88C4931245D0}"/>
  <tableColumns count="3">
    <tableColumn id="5" xr3:uid="{06513CA1-C7E5-48F3-86AC-F6B03D4A3044}" name="Code Type Solution"/>
    <tableColumn id="1" xr3:uid="{4C6B662B-04C9-45E9-8997-D787DAF83F49}" name="Code Langue"/>
    <tableColumn id="4" xr3:uid="{0A4E32BE-0DB2-40E5-A668-1EE18624EF1B}" name="Type de solutio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F7BCEF-EA32-41BC-A41F-46E4B0644B52}" name="Employeur" displayName="Employeur" ref="B3:I29" totalsRowShown="0" headerRowDxfId="33" dataDxfId="31" headerRowBorderDxfId="32" tableBorderDxfId="30">
  <autoFilter ref="B3:I29" xr:uid="{8AF7BCEF-EA32-41BC-A41F-46E4B0644B52}"/>
  <tableColumns count="8">
    <tableColumn id="10" xr3:uid="{39CC60A4-761B-4723-8D29-01142ED08C1B}" name="ID_Ligne" dataDxfId="29"/>
    <tableColumn id="11" xr3:uid="{B4635D8E-EF32-4085-8C7F-ABA117B9024B}" name="Langue"/>
    <tableColumn id="1" xr3:uid="{42E9CD4A-6E0A-462A-9A0E-9BD2377CC5AC}" name="Date début" dataDxfId="28"/>
    <tableColumn id="2" xr3:uid="{CB98975F-D6F8-43F3-AB17-5D83F93C0E98}" name="Date fin" dataDxfId="27"/>
    <tableColumn id="3" xr3:uid="{E6193E94-B315-4B46-A33F-AFE9BDA19CFF}" name="Employeur" dataDxfId="26"/>
    <tableColumn id="4" xr3:uid="{13B271BF-7E0C-4527-80CB-0DD46FD10232}" name="intitulé du Poste" dataDxfId="25"/>
    <tableColumn id="5" xr3:uid="{AC509C77-B66E-4227-AC6C-0427F351C353}" name="Diplôme et certification" dataDxfId="24"/>
    <tableColumn id="8" xr3:uid="{D2AEFBB3-307B-4AFB-ADDC-F02B49F2A44F}" name="Logo Certif/Diplôme" dataDxfId="2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301A4F3-5243-455E-A537-B3ADDC41D563}" name="Client_Mission" displayName="Client_Mission" ref="B3:Q153" totalsRowShown="0" dataDxfId="69">
  <autoFilter ref="B3:Q153" xr:uid="{C301A4F3-5243-455E-A537-B3ADDC41D563}"/>
  <tableColumns count="16">
    <tableColumn id="20" xr3:uid="{7CB3E33F-EE78-497B-B036-D19AA9056895}" name="ID_ligne" dataDxfId="68"/>
    <tableColumn id="21" xr3:uid="{7BE58CB4-8053-4F0D-A88C-B36154425165}" name="Langue" dataDxfId="67"/>
    <tableColumn id="1" xr3:uid="{C95FAA88-5DBD-4865-B8D0-9D366FADAC3B}" name="Date début" dataDxfId="66"/>
    <tableColumn id="2" xr3:uid="{42991A86-0818-45A7-A2E2-F3E4202A3EF8}" name="Date fin" dataDxfId="65"/>
    <tableColumn id="15" xr3:uid="{A55DF7C5-3210-4E3C-A0BF-B722F565F8C3}" name="Type de mission"/>
    <tableColumn id="3" xr3:uid="{4E139037-49F9-4770-9856-E052F12F0D0A}" name="Client" dataDxfId="64"/>
    <tableColumn id="16" xr3:uid="{52129B57-C6DA-41DC-AA24-E1D17BE54B06}" name="Lieu Mission" dataDxfId="63"/>
    <tableColumn id="11" xr3:uid="{524B961B-266D-4F23-A28F-8EFCD1B6CC25}" name="Employeur" dataDxfId="62"/>
    <tableColumn id="4" xr3:uid="{BC28D4CB-97EB-4F1C-9A58-B4B10488A1AE}" name="Rôle" dataDxfId="61"/>
    <tableColumn id="5" xr3:uid="{673924F6-B90A-4BE1-8463-C978D7B46644}" name="Réalisation" dataDxfId="60"/>
    <tableColumn id="6" xr3:uid="{171E3314-1F30-4963-88C9-501FB0B41BA0}" name="Type de Solution" dataDxfId="59"/>
    <tableColumn id="9" xr3:uid="{F28B461F-1E99-4FF8-98C1-27242D105868}" name="Solutions" dataDxfId="58"/>
    <tableColumn id="7" xr3:uid="{968A88E5-1DCE-4B16-91CC-B8FFE5ED51FF}" name="Environnement technique" dataDxfId="57"/>
    <tableColumn id="8" xr3:uid="{45AEED03-BF11-4001-9BA1-B21E515FEFE7}" name="Rating" dataDxfId="56"/>
    <tableColumn id="10" xr3:uid="{9ECD1554-B228-466C-9399-1D62491B53FC}" name="HomePageVieworder Solution" dataDxfId="55"/>
    <tableColumn id="12" xr3:uid="{412E1C8D-6C76-438E-8337-85F0904E6D97}" name="HomePageVieworder Expérience significative" dataDxfId="54"/>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DEC3966-83E6-4FDE-AE88-654C92B729B8}" name="Client_Feedback" displayName="Client_Feedback" ref="B2:J21" totalsRowShown="0" headerRowDxfId="22" dataDxfId="20" headerRowBorderDxfId="21" tableBorderDxfId="19">
  <autoFilter ref="B2:J21" xr:uid="{6DEC3966-83E6-4FDE-AE88-654C92B729B8}"/>
  <tableColumns count="9">
    <tableColumn id="1" xr3:uid="{82051807-75ED-4B5E-9AB3-480A5FEF30E8}" name="ID Ligne" dataDxfId="18"/>
    <tableColumn id="11" xr3:uid="{896BDDE5-C91F-4495-B6AF-942009B23BAB}" name="Langue" dataDxfId="17"/>
    <tableColumn id="9" xr3:uid="{3C9E3208-BD76-4861-ACFC-BE75E4841099}" name="Date du feedback" dataDxfId="16"/>
    <tableColumn id="3" xr3:uid="{73184AFB-5DC9-4B05-9FCB-24FA6728D0ED}" name="Client" dataDxfId="15"/>
    <tableColumn id="4" xr3:uid="{7BDBFF17-6103-4D31-BE0C-346B2954DCF2}" name="Employeur" dataDxfId="14"/>
    <tableColumn id="12" xr3:uid="{7ED76092-6F8D-4C71-91B5-2664BFCB267E}" name="Nom Prénom Feedback" dataDxfId="13"/>
    <tableColumn id="13" xr3:uid="{E023FC01-6576-4172-9A22-E401DA2E3CC1}" name="Rôle Feedback" dataDxfId="12"/>
    <tableColumn id="5" xr3:uid="{88AB5BF8-76AD-41A4-936F-A68BA5F67262}" name="Nous avons travaillé ensemble, qu’as-tu apprécié ?" dataDxfId="11"/>
    <tableColumn id="6" xr3:uid="{81A85C77-8EF0-44C5-9111-6BF008F09C05}" name="Quels conseils me donnerais-tu pour la prochaine fois ?  " dataDxfId="1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24C4C9B-4634-47BB-9C50-B5D12CBD5A62}" name="Hobbies" displayName="Hobbies" ref="B3:K21" totalsRowShown="0" headerRowDxfId="9">
  <autoFilter ref="B3:K21" xr:uid="{224C4C9B-4634-47BB-9C50-B5D12CBD5A62}"/>
  <sortState xmlns:xlrd2="http://schemas.microsoft.com/office/spreadsheetml/2017/richdata2" ref="B4:K14">
    <sortCondition descending="1" ref="B3:B14"/>
  </sortState>
  <tableColumns count="10">
    <tableColumn id="1" xr3:uid="{77047327-C2B2-47A5-AA6F-F8ECBE3E179D}" name="ID Ligne" dataDxfId="8"/>
    <tableColumn id="13" xr3:uid="{2FA44B3A-369C-4074-A430-78364D54B2B4}" name="Langue"/>
    <tableColumn id="12" xr3:uid="{389C4268-195C-458C-B1C0-6DB02A6C7FE2}" name="Date début" dataDxfId="7"/>
    <tableColumn id="2" xr3:uid="{809C3391-D659-40F9-B8C5-3CEE8E25B417}" name="Date fin" dataDxfId="6"/>
    <tableColumn id="3" xr3:uid="{3E79A248-83B1-4A52-A9B4-8CCBCFEB61C8}" name="Association" dataDxfId="5"/>
    <tableColumn id="4" xr3:uid="{65B18ADD-AADA-4054-8CCC-31EB50FCF6C8}" name="Rôle" dataDxfId="4"/>
    <tableColumn id="5" xr3:uid="{D9576511-1A8D-4AA5-AAB1-9BEE69A7FCF9}" name="Description" dataDxfId="3"/>
    <tableColumn id="6" xr3:uid="{D422D360-2F18-47C1-B2EC-EB0EC4FEE92B}" name="Réalisation" dataDxfId="2"/>
    <tableColumn id="7" xr3:uid="{EF154E2C-850F-424A-908A-7BAD25351490}" name="Lien" dataDxfId="1"/>
    <tableColumn id="9" xr3:uid="{C8CB0694-4B29-4C08-AA55-DEBB7263C3FC}" name="HomePageVieworder Hobbies significativ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3" dT="2023-10-16T17:37:16.44" personId="{7369C49C-0DCF-48AC-BB72-3FB2B3983F25}" id="{2B896D93-2EF0-4914-8CD1-0724140B04FF}">
    <text>Indiquer les 5 solutions (Tech et Relationnel) à afficher dans l'ordre dans la home page du rapport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13"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113B39C-25B1-419B-9195-651C8A83E7D7}">
  <we:reference id="29673e3c-d826-4f00-92ee-162334a52b1a" version="1.0.0.8" store="EXCatalog" storeType="EXCatalog"/>
  <we:alternateReferences>
    <we:reference id="WA200009404" version="1.0.0.8" store="fr-FR" storeType="OMEX"/>
  </we:alternateReferences>
  <we:properties>
    <we:property name="claude.fileId" value="&quot;9e833766-c937-46b0-9990-2e0893503e3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mattrv.blob.core.windows.net/curriculum/icon/BestEntier.JP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mattrv.blob.core.windows.net/curriculum/LogoClient/Insiders.png" TargetMode="External"/><Relationship Id="rId13" Type="http://schemas.openxmlformats.org/officeDocument/2006/relationships/hyperlink" Target="https://mattrv.blob.core.windows.net/curriculum/Background/summer.jpg" TargetMode="External"/><Relationship Id="rId18" Type="http://schemas.openxmlformats.org/officeDocument/2006/relationships/table" Target="../tables/table5.xml"/><Relationship Id="rId3" Type="http://schemas.openxmlformats.org/officeDocument/2006/relationships/hyperlink" Target="https://mattrv.blob.core.windows.net/curriculum/Background/Printemps.png" TargetMode="External"/><Relationship Id="rId7" Type="http://schemas.openxmlformats.org/officeDocument/2006/relationships/hyperlink" Target="https://mattrv.blob.core.windows.net/curriculum/LogoClient/Azeo.jpg" TargetMode="External"/><Relationship Id="rId12" Type="http://schemas.openxmlformats.org/officeDocument/2006/relationships/hyperlink" Target="https://mattrv.blob.core.windows.net/curriculum/Background/Automn.jpg" TargetMode="External"/><Relationship Id="rId17" Type="http://schemas.openxmlformats.org/officeDocument/2006/relationships/table" Target="../tables/table4.xml"/><Relationship Id="rId2" Type="http://schemas.openxmlformats.org/officeDocument/2006/relationships/hyperlink" Target="https://mattrv.blob.core.windows.net/curriculum/Background/decor-fete-noel-nature-morte-fond-bois.jpg" TargetMode="External"/><Relationship Id="rId16" Type="http://schemas.openxmlformats.org/officeDocument/2006/relationships/table" Target="../tables/table3.xml"/><Relationship Id="rId20" Type="http://schemas.openxmlformats.org/officeDocument/2006/relationships/table" Target="../tables/table7.xml"/><Relationship Id="rId1" Type="http://schemas.openxmlformats.org/officeDocument/2006/relationships/hyperlink" Target="https://mattrv.blob.core.windows.net/curriculum/Background/backgroundHiver.png" TargetMode="External"/><Relationship Id="rId6" Type="http://schemas.openxmlformats.org/officeDocument/2006/relationships/hyperlink" Target="https://mattrv.blob.core.windows.net/curriculum/LogoClient/Sopra_Steria_logo.svg.png" TargetMode="External"/><Relationship Id="rId11" Type="http://schemas.openxmlformats.org/officeDocument/2006/relationships/hyperlink" Target="https://mattrv.blob.core.windows.net/curriculum/LogoClient/perso.png" TargetMode="External"/><Relationship Id="rId5" Type="http://schemas.openxmlformats.org/officeDocument/2006/relationships/hyperlink" Target="https://mattrv.blob.core.windows.net/curriculum/LogoClient/EIGSI.jpg" TargetMode="External"/><Relationship Id="rId15" Type="http://schemas.openxmlformats.org/officeDocument/2006/relationships/table" Target="../tables/table2.xml"/><Relationship Id="rId10" Type="http://schemas.openxmlformats.org/officeDocument/2006/relationships/hyperlink" Target="https://mattrv.blob.core.windows.net/curriculum/LogoClient/Logo-ClubPowerBI-Jaune-Slogan.png" TargetMode="External"/><Relationship Id="rId19" Type="http://schemas.openxmlformats.org/officeDocument/2006/relationships/table" Target="../tables/table6.xml"/><Relationship Id="rId4" Type="http://schemas.openxmlformats.org/officeDocument/2006/relationships/hyperlink" Target="https://mattrv.blob.core.windows.net/curriculum/LogoClient/UPMC.png" TargetMode="External"/><Relationship Id="rId9" Type="http://schemas.openxmlformats.org/officeDocument/2006/relationships/hyperlink" Target="https://mattrv.blob.core.windows.net/curriculum/LogoClient/Logo_SGDF.svg.png" TargetMode="External"/><Relationship Id="rId1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5.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hyperlink" Target="https://app.powerbi.com/view?r=eyJrIjoiODg5NTMwZjItY2MxMS00N2U2LTk4ZTEtYTZlOTYxNjc3ZjAxIiwidCI6Ijk1MWQxZWNhLTk2MGYtNDUwMS05MGY4LThkN2RhYjM0NjBkNiIsImMiOjh9" TargetMode="External"/><Relationship Id="rId7" Type="http://schemas.microsoft.com/office/2017/10/relationships/threadedComment" Target="../threadedComments/threadedComment1.xml"/><Relationship Id="rId2" Type="http://schemas.openxmlformats.org/officeDocument/2006/relationships/hyperlink" Target="https://app.powerbi.com/view?r=eyJrIjoiODg5NTMwZjItY2MxMS00N2U2LTk4ZTEtYTZlOTYxNjc3ZjAxIiwidCI6Ijk1MWQxZWNhLTk2MGYtNDUwMS05MGY4LThkN2RhYjM0NjBkNiIsImMiOjh9" TargetMode="External"/><Relationship Id="rId1" Type="http://schemas.openxmlformats.org/officeDocument/2006/relationships/hyperlink" Target="https://www.linkedin.com/feed/update/urn:li:activity:7275786335280349184" TargetMode="External"/><Relationship Id="rId6" Type="http://schemas.openxmlformats.org/officeDocument/2006/relationships/comments" Target="../comments1.xml"/><Relationship Id="rId5" Type="http://schemas.openxmlformats.org/officeDocument/2006/relationships/table" Target="../tables/table1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
  <sheetViews>
    <sheetView topLeftCell="B6" workbookViewId="0">
      <selection activeCell="C26" sqref="C26"/>
    </sheetView>
  </sheetViews>
  <sheetFormatPr baseColWidth="10" defaultColWidth="9.3046875" defaultRowHeight="14.6"/>
  <cols>
    <col min="2" max="2" width="41.15234375" customWidth="1"/>
    <col min="3" max="3" width="31.84375" bestFit="1" customWidth="1"/>
    <col min="4" max="4" width="27.15234375" bestFit="1" customWidth="1"/>
    <col min="5" max="5" width="15.3046875" bestFit="1" customWidth="1"/>
    <col min="6" max="6" width="13.3046875" bestFit="1" customWidth="1"/>
    <col min="7" max="7" width="10.15234375" bestFit="1" customWidth="1"/>
    <col min="8" max="8" width="15.84375" bestFit="1" customWidth="1"/>
    <col min="9" max="17" width="14.69140625" customWidth="1"/>
  </cols>
  <sheetData>
    <row r="1" spans="1:5" ht="20.6">
      <c r="B1" s="46" t="s">
        <v>0</v>
      </c>
      <c r="C1" s="46"/>
      <c r="D1" s="46"/>
    </row>
    <row r="4" spans="1:5">
      <c r="B4" s="1" t="s">
        <v>1</v>
      </c>
    </row>
    <row r="5" spans="1:5">
      <c r="B5" t="s">
        <v>2</v>
      </c>
    </row>
    <row r="6" spans="1:5">
      <c r="B6" t="s">
        <v>3</v>
      </c>
    </row>
    <row r="7" spans="1:5">
      <c r="B7" s="1" t="s">
        <v>4</v>
      </c>
    </row>
    <row r="8" spans="1:5">
      <c r="B8" t="s">
        <v>5</v>
      </c>
    </row>
    <row r="9" spans="1:5">
      <c r="C9" t="s">
        <v>6</v>
      </c>
      <c r="D9" t="s">
        <v>7</v>
      </c>
    </row>
    <row r="10" spans="1:5">
      <c r="B10" t="s">
        <v>8</v>
      </c>
    </row>
    <row r="11" spans="1:5">
      <c r="C11" t="s">
        <v>9</v>
      </c>
      <c r="D11" t="s">
        <v>10</v>
      </c>
      <c r="E11" t="s">
        <v>11</v>
      </c>
    </row>
    <row r="12" spans="1:5">
      <c r="B12" t="s">
        <v>12</v>
      </c>
      <c r="C12" s="1"/>
    </row>
    <row r="13" spans="1:5">
      <c r="C13" t="s">
        <v>13</v>
      </c>
      <c r="D13" t="s">
        <v>14</v>
      </c>
      <c r="E13" s="2" t="s">
        <v>15</v>
      </c>
    </row>
    <row r="14" spans="1:5">
      <c r="B14" t="s">
        <v>16</v>
      </c>
      <c r="C14" s="1"/>
    </row>
    <row r="15" spans="1:5">
      <c r="C15" t="s">
        <v>13</v>
      </c>
      <c r="D15" t="s">
        <v>14</v>
      </c>
      <c r="E15" s="2" t="s">
        <v>15</v>
      </c>
    </row>
    <row r="16" spans="1:5">
      <c r="A16" t="s">
        <v>17</v>
      </c>
      <c r="B16" t="s">
        <v>18</v>
      </c>
      <c r="C16" s="1"/>
    </row>
    <row r="17" spans="1:11">
      <c r="C17" t="s">
        <v>19</v>
      </c>
      <c r="D17" t="s">
        <v>20</v>
      </c>
      <c r="E17" t="s">
        <v>21</v>
      </c>
      <c r="F17" t="s">
        <v>22</v>
      </c>
      <c r="G17" t="s">
        <v>23</v>
      </c>
      <c r="H17" t="s">
        <v>24</v>
      </c>
      <c r="I17" t="s">
        <v>25</v>
      </c>
      <c r="J17" t="s">
        <v>26</v>
      </c>
      <c r="K17" t="s">
        <v>27</v>
      </c>
    </row>
    <row r="18" spans="1:11">
      <c r="A18" t="s">
        <v>17</v>
      </c>
      <c r="B18" t="s">
        <v>28</v>
      </c>
    </row>
    <row r="19" spans="1:11">
      <c r="C19" t="s">
        <v>29</v>
      </c>
      <c r="D19" t="s">
        <v>20</v>
      </c>
      <c r="E19" t="s">
        <v>21</v>
      </c>
      <c r="F19" t="s">
        <v>30</v>
      </c>
      <c r="G19" t="s">
        <v>31</v>
      </c>
    </row>
    <row r="20" spans="1:11">
      <c r="B20" t="s">
        <v>32</v>
      </c>
    </row>
    <row r="21" spans="1:11">
      <c r="C21" t="s">
        <v>33</v>
      </c>
      <c r="D21" t="s">
        <v>20</v>
      </c>
      <c r="E21" t="s">
        <v>21</v>
      </c>
      <c r="F21" t="s">
        <v>34</v>
      </c>
    </row>
    <row r="22" spans="1:11">
      <c r="B22" t="s">
        <v>35</v>
      </c>
    </row>
    <row r="23" spans="1:11">
      <c r="C23" t="s">
        <v>36</v>
      </c>
      <c r="D23" t="s">
        <v>20</v>
      </c>
      <c r="E23" t="s">
        <v>21</v>
      </c>
      <c r="F23" t="s">
        <v>37</v>
      </c>
      <c r="G23" t="s">
        <v>38</v>
      </c>
      <c r="H23" t="s">
        <v>27</v>
      </c>
    </row>
    <row r="26" spans="1:11">
      <c r="B26" t="s">
        <v>39</v>
      </c>
    </row>
    <row r="27" spans="1:11">
      <c r="B27" t="s">
        <v>40</v>
      </c>
    </row>
    <row r="28" spans="1:11">
      <c r="B28" t="s">
        <v>41</v>
      </c>
    </row>
    <row r="29" spans="1:11">
      <c r="B29" t="s">
        <v>42</v>
      </c>
    </row>
    <row r="30" spans="1:11">
      <c r="B30" t="s">
        <v>43</v>
      </c>
    </row>
  </sheetData>
  <mergeCells count="1">
    <mergeCell ref="B1:D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02179-E452-428D-BA29-45E0B185942E}">
  <dimension ref="A1:J3"/>
  <sheetViews>
    <sheetView workbookViewId="0">
      <selection activeCell="C2" sqref="C2"/>
    </sheetView>
  </sheetViews>
  <sheetFormatPr baseColWidth="10" defaultColWidth="9.3046875" defaultRowHeight="15" customHeight="1"/>
  <cols>
    <col min="3" max="3" width="75.15234375" customWidth="1"/>
    <col min="4" max="4" width="37" customWidth="1"/>
    <col min="5" max="5" width="13.3046875" customWidth="1"/>
    <col min="6" max="6" width="10" bestFit="1" customWidth="1"/>
  </cols>
  <sheetData>
    <row r="1" spans="1:10" ht="14.6">
      <c r="A1" t="s">
        <v>44</v>
      </c>
      <c r="B1" t="s">
        <v>45</v>
      </c>
      <c r="C1" t="s">
        <v>46</v>
      </c>
      <c r="D1" t="s">
        <v>47</v>
      </c>
      <c r="E1" t="s">
        <v>48</v>
      </c>
      <c r="F1" t="s">
        <v>49</v>
      </c>
      <c r="G1" t="s">
        <v>50</v>
      </c>
      <c r="H1" t="s">
        <v>51</v>
      </c>
      <c r="I1" t="s">
        <v>52</v>
      </c>
      <c r="J1" t="s">
        <v>53</v>
      </c>
    </row>
    <row r="2" spans="1:10" ht="156" customHeight="1">
      <c r="A2" s="6" t="s">
        <v>54</v>
      </c>
      <c r="B2" s="6" t="s">
        <v>55</v>
      </c>
      <c r="C2" s="19" t="s">
        <v>56</v>
      </c>
      <c r="D2" s="7" t="s">
        <v>57</v>
      </c>
      <c r="E2" s="10">
        <v>33030</v>
      </c>
      <c r="F2" s="11" t="s">
        <v>58</v>
      </c>
      <c r="G2" s="6" t="s">
        <v>59</v>
      </c>
      <c r="H2" s="6" t="s">
        <v>60</v>
      </c>
      <c r="I2" s="6" t="s">
        <v>61</v>
      </c>
      <c r="J2" s="9" t="s">
        <v>62</v>
      </c>
    </row>
    <row r="3" spans="1:10" ht="156" customHeight="1">
      <c r="A3" s="6"/>
      <c r="B3" s="6" t="s">
        <v>63</v>
      </c>
      <c r="C3" s="19" t="s">
        <v>64</v>
      </c>
      <c r="D3" s="7" t="s">
        <v>65</v>
      </c>
      <c r="E3" s="10"/>
      <c r="F3" s="11"/>
      <c r="G3" s="6"/>
      <c r="H3" s="6"/>
      <c r="I3" s="6"/>
      <c r="J3" s="9"/>
    </row>
  </sheetData>
  <hyperlinks>
    <hyperlink ref="J2" r:id="rId1" xr:uid="{C016EF34-1D55-4C6C-9665-4B860FB45DD3}"/>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C4E88-6048-4B98-9030-300B8306F432}">
  <dimension ref="A1:T49"/>
  <sheetViews>
    <sheetView tabSelected="1" topLeftCell="A27" workbookViewId="0">
      <selection activeCell="E57" sqref="E57"/>
    </sheetView>
  </sheetViews>
  <sheetFormatPr baseColWidth="10" defaultColWidth="9.3046875" defaultRowHeight="14.6"/>
  <cols>
    <col min="1" max="3" width="11.84375" customWidth="1"/>
    <col min="4" max="6" width="14.69140625" customWidth="1"/>
    <col min="8" max="8" width="10.3046875" bestFit="1" customWidth="1"/>
    <col min="9" max="9" width="13.3046875" bestFit="1" customWidth="1"/>
    <col min="10" max="10" width="10.3046875" bestFit="1" customWidth="1"/>
    <col min="11" max="11" width="18.15234375" bestFit="1" customWidth="1"/>
    <col min="14" max="14" width="14" customWidth="1"/>
    <col min="15" max="15" width="19" customWidth="1"/>
    <col min="16" max="16" width="8.69140625" customWidth="1"/>
    <col min="17" max="18" width="9.69140625" customWidth="1"/>
    <col min="19" max="19" width="22.3046875" customWidth="1"/>
    <col min="20" max="20" width="9.15234375" customWidth="1"/>
  </cols>
  <sheetData>
    <row r="1" spans="1:20">
      <c r="A1" t="s">
        <v>66</v>
      </c>
    </row>
    <row r="2" spans="1:20">
      <c r="A2" t="s">
        <v>67</v>
      </c>
      <c r="H2" t="s">
        <v>68</v>
      </c>
      <c r="M2" t="s">
        <v>69</v>
      </c>
      <c r="Q2" t="s">
        <v>45</v>
      </c>
    </row>
    <row r="3" spans="1:20">
      <c r="A3" t="s">
        <v>70</v>
      </c>
      <c r="B3" t="s">
        <v>45</v>
      </c>
      <c r="C3" t="s">
        <v>23</v>
      </c>
      <c r="D3" s="3" t="s">
        <v>71</v>
      </c>
      <c r="E3" t="s">
        <v>72</v>
      </c>
      <c r="F3" t="s">
        <v>73</v>
      </c>
      <c r="H3" t="s">
        <v>70</v>
      </c>
      <c r="I3" t="s">
        <v>74</v>
      </c>
      <c r="J3" t="s">
        <v>75</v>
      </c>
      <c r="M3" t="s">
        <v>70</v>
      </c>
      <c r="N3" t="s">
        <v>76</v>
      </c>
      <c r="O3" s="3" t="s">
        <v>77</v>
      </c>
      <c r="Q3" t="s">
        <v>78</v>
      </c>
      <c r="R3" t="s">
        <v>45</v>
      </c>
      <c r="S3" t="s">
        <v>79</v>
      </c>
      <c r="T3" t="s">
        <v>80</v>
      </c>
    </row>
    <row r="4" spans="1:20">
      <c r="A4" t="s">
        <v>81</v>
      </c>
      <c r="B4" t="s">
        <v>82</v>
      </c>
      <c r="C4" s="26" t="s">
        <v>83</v>
      </c>
      <c r="D4" t="s">
        <v>84</v>
      </c>
      <c r="E4" t="s">
        <v>85</v>
      </c>
      <c r="F4" s="26" t="s">
        <v>86</v>
      </c>
      <c r="H4" t="s">
        <v>87</v>
      </c>
      <c r="I4" s="26" t="s">
        <v>88</v>
      </c>
      <c r="J4" t="s">
        <v>89</v>
      </c>
      <c r="M4" s="14" t="s">
        <v>90</v>
      </c>
      <c r="N4" s="26" t="s">
        <v>91</v>
      </c>
      <c r="O4" t="s">
        <v>92</v>
      </c>
      <c r="Q4" t="s">
        <v>55</v>
      </c>
      <c r="R4" t="s">
        <v>93</v>
      </c>
      <c r="S4" t="s">
        <v>94</v>
      </c>
      <c r="T4">
        <v>5</v>
      </c>
    </row>
    <row r="5" spans="1:20">
      <c r="A5" t="s">
        <v>81</v>
      </c>
      <c r="B5" t="s">
        <v>95</v>
      </c>
      <c r="C5" s="26"/>
      <c r="E5" t="s">
        <v>96</v>
      </c>
      <c r="F5" s="26"/>
      <c r="H5" t="s">
        <v>97</v>
      </c>
      <c r="I5" s="26" t="s">
        <v>98</v>
      </c>
      <c r="J5" t="s">
        <v>99</v>
      </c>
      <c r="M5" s="13" t="s">
        <v>100</v>
      </c>
      <c r="N5" s="26" t="s">
        <v>101</v>
      </c>
      <c r="O5" t="s">
        <v>102</v>
      </c>
      <c r="Q5" t="s">
        <v>55</v>
      </c>
      <c r="R5" t="s">
        <v>103</v>
      </c>
      <c r="S5" t="s">
        <v>104</v>
      </c>
      <c r="T5">
        <v>4.3</v>
      </c>
    </row>
    <row r="6" spans="1:20">
      <c r="A6" t="s">
        <v>105</v>
      </c>
      <c r="B6" t="s">
        <v>82</v>
      </c>
      <c r="C6" s="26" t="s">
        <v>106</v>
      </c>
      <c r="D6" t="s">
        <v>107</v>
      </c>
      <c r="E6" t="s">
        <v>85</v>
      </c>
      <c r="F6" s="26" t="s">
        <v>86</v>
      </c>
      <c r="H6" s="18" t="s">
        <v>108</v>
      </c>
      <c r="I6" s="26" t="s">
        <v>109</v>
      </c>
      <c r="J6" t="s">
        <v>99</v>
      </c>
      <c r="M6" s="14" t="s">
        <v>110</v>
      </c>
      <c r="N6" s="27" t="s">
        <v>111</v>
      </c>
      <c r="O6" t="s">
        <v>112</v>
      </c>
      <c r="Q6" t="s">
        <v>63</v>
      </c>
      <c r="R6" t="s">
        <v>113</v>
      </c>
      <c r="S6" t="s">
        <v>94</v>
      </c>
      <c r="T6">
        <v>5</v>
      </c>
    </row>
    <row r="7" spans="1:20">
      <c r="A7" t="s">
        <v>105</v>
      </c>
      <c r="B7" t="s">
        <v>95</v>
      </c>
      <c r="C7" s="26"/>
      <c r="E7" t="s">
        <v>96</v>
      </c>
      <c r="F7" s="26"/>
      <c r="M7" s="13" t="s">
        <v>114</v>
      </c>
      <c r="N7" s="28" t="s">
        <v>115</v>
      </c>
      <c r="O7" t="s">
        <v>116</v>
      </c>
      <c r="Q7" t="s">
        <v>63</v>
      </c>
      <c r="R7" t="s">
        <v>117</v>
      </c>
      <c r="S7" t="s">
        <v>104</v>
      </c>
      <c r="T7">
        <v>4.3</v>
      </c>
    </row>
    <row r="8" spans="1:20">
      <c r="A8" t="s">
        <v>118</v>
      </c>
      <c r="B8" t="s">
        <v>82</v>
      </c>
      <c r="C8" s="26" t="s">
        <v>119</v>
      </c>
      <c r="D8" t="s">
        <v>120</v>
      </c>
      <c r="E8" t="s">
        <v>121</v>
      </c>
      <c r="F8" s="26" t="s">
        <v>122</v>
      </c>
      <c r="I8" t="s">
        <v>123</v>
      </c>
      <c r="M8" s="14" t="s">
        <v>124</v>
      </c>
      <c r="N8" t="s">
        <v>125</v>
      </c>
      <c r="O8" t="s">
        <v>126</v>
      </c>
    </row>
    <row r="9" spans="1:20">
      <c r="A9" t="s">
        <v>118</v>
      </c>
      <c r="B9" t="s">
        <v>95</v>
      </c>
      <c r="C9" s="26"/>
      <c r="E9" t="s">
        <v>127</v>
      </c>
      <c r="F9" s="26"/>
      <c r="M9" s="13" t="s">
        <v>128</v>
      </c>
      <c r="N9" s="26" t="s">
        <v>129</v>
      </c>
      <c r="O9" t="s">
        <v>130</v>
      </c>
    </row>
    <row r="10" spans="1:20">
      <c r="A10" t="s">
        <v>131</v>
      </c>
      <c r="B10" t="s">
        <v>82</v>
      </c>
      <c r="C10" s="26" t="s">
        <v>132</v>
      </c>
      <c r="D10" t="s">
        <v>133</v>
      </c>
      <c r="E10" t="s">
        <v>134</v>
      </c>
      <c r="F10" s="26" t="s">
        <v>135</v>
      </c>
      <c r="G10" s="15"/>
    </row>
    <row r="11" spans="1:20">
      <c r="A11" t="s">
        <v>131</v>
      </c>
      <c r="B11" t="s">
        <v>95</v>
      </c>
      <c r="C11" s="26"/>
      <c r="E11" t="s">
        <v>136</v>
      </c>
      <c r="F11" s="26"/>
    </row>
    <row r="12" spans="1:20">
      <c r="A12" t="s">
        <v>137</v>
      </c>
      <c r="B12" t="s">
        <v>82</v>
      </c>
      <c r="C12" s="26" t="s">
        <v>138</v>
      </c>
      <c r="D12" t="s">
        <v>139</v>
      </c>
      <c r="E12" t="s">
        <v>121</v>
      </c>
      <c r="F12" s="26" t="s">
        <v>122</v>
      </c>
      <c r="H12" t="s">
        <v>140</v>
      </c>
    </row>
    <row r="13" spans="1:20">
      <c r="A13" t="s">
        <v>137</v>
      </c>
      <c r="B13" t="s">
        <v>95</v>
      </c>
      <c r="C13" s="26"/>
      <c r="E13" t="s">
        <v>127</v>
      </c>
      <c r="F13" s="26"/>
      <c r="H13" s="21" t="s">
        <v>141</v>
      </c>
      <c r="I13" s="22" t="s">
        <v>142</v>
      </c>
      <c r="J13" s="22" t="s">
        <v>143</v>
      </c>
      <c r="K13" s="23" t="s">
        <v>144</v>
      </c>
    </row>
    <row r="14" spans="1:20">
      <c r="A14" t="s">
        <v>145</v>
      </c>
      <c r="B14" t="s">
        <v>82</v>
      </c>
      <c r="C14" s="26" t="s">
        <v>146</v>
      </c>
      <c r="D14" t="s">
        <v>133</v>
      </c>
      <c r="E14" t="s">
        <v>121</v>
      </c>
      <c r="F14" s="26" t="s">
        <v>122</v>
      </c>
      <c r="H14" s="20" t="s">
        <v>147</v>
      </c>
      <c r="I14" s="24">
        <v>45261</v>
      </c>
      <c r="J14" s="24">
        <v>45291</v>
      </c>
      <c r="K14" s="25" t="s">
        <v>148</v>
      </c>
    </row>
    <row r="15" spans="1:20">
      <c r="A15" t="s">
        <v>145</v>
      </c>
      <c r="B15" t="s">
        <v>95</v>
      </c>
      <c r="C15" s="28"/>
      <c r="E15" t="s">
        <v>127</v>
      </c>
      <c r="F15" s="26"/>
      <c r="H15" s="20" t="s">
        <v>149</v>
      </c>
      <c r="I15" s="24">
        <v>44927</v>
      </c>
      <c r="J15" s="24">
        <v>44986</v>
      </c>
      <c r="K15" s="25" t="s">
        <v>150</v>
      </c>
    </row>
    <row r="16" spans="1:20">
      <c r="A16" s="16" t="s">
        <v>151</v>
      </c>
      <c r="B16" t="s">
        <v>82</v>
      </c>
      <c r="C16" s="26" t="s">
        <v>152</v>
      </c>
      <c r="D16" t="s">
        <v>133</v>
      </c>
      <c r="E16" t="s">
        <v>85</v>
      </c>
      <c r="F16" s="26" t="s">
        <v>86</v>
      </c>
      <c r="H16" s="20" t="s">
        <v>153</v>
      </c>
      <c r="I16" s="24">
        <v>44986</v>
      </c>
      <c r="J16" s="24">
        <v>45078</v>
      </c>
      <c r="K16" s="25" t="s">
        <v>154</v>
      </c>
    </row>
    <row r="17" spans="1:15">
      <c r="A17" s="4" t="s">
        <v>151</v>
      </c>
      <c r="B17" t="s">
        <v>95</v>
      </c>
      <c r="C17" s="26"/>
      <c r="E17" t="s">
        <v>96</v>
      </c>
      <c r="F17" s="26"/>
      <c r="H17" s="20" t="s">
        <v>155</v>
      </c>
      <c r="I17" s="24">
        <v>45078</v>
      </c>
      <c r="J17" s="24">
        <v>45170</v>
      </c>
      <c r="K17" s="25" t="s">
        <v>156</v>
      </c>
    </row>
    <row r="18" spans="1:15">
      <c r="A18" s="18" t="s">
        <v>157</v>
      </c>
      <c r="B18" t="s">
        <v>82</v>
      </c>
      <c r="C18" s="26" t="s">
        <v>158</v>
      </c>
      <c r="D18" t="s">
        <v>133</v>
      </c>
      <c r="E18" t="s">
        <v>159</v>
      </c>
      <c r="F18" s="26" t="s">
        <v>160</v>
      </c>
      <c r="H18" s="20" t="s">
        <v>161</v>
      </c>
      <c r="I18" s="24">
        <v>45170</v>
      </c>
      <c r="J18" s="24">
        <v>45261</v>
      </c>
      <c r="K18" s="25" t="s">
        <v>162</v>
      </c>
    </row>
    <row r="19" spans="1:15">
      <c r="A19" t="s">
        <v>157</v>
      </c>
      <c r="B19" t="s">
        <v>95</v>
      </c>
      <c r="C19" s="26"/>
      <c r="E19" t="s">
        <v>163</v>
      </c>
      <c r="F19" s="26"/>
    </row>
    <row r="20" spans="1:15">
      <c r="A20" s="18" t="s">
        <v>164</v>
      </c>
      <c r="B20" t="s">
        <v>82</v>
      </c>
      <c r="C20" t="s">
        <v>165</v>
      </c>
      <c r="D20" t="s">
        <v>133</v>
      </c>
      <c r="E20" t="s">
        <v>166</v>
      </c>
      <c r="F20" t="s">
        <v>167</v>
      </c>
      <c r="M20" t="s">
        <v>168</v>
      </c>
    </row>
    <row r="21" spans="1:15">
      <c r="A21" t="s">
        <v>164</v>
      </c>
      <c r="B21" t="s">
        <v>95</v>
      </c>
      <c r="E21" t="s">
        <v>169</v>
      </c>
      <c r="M21" t="s">
        <v>170</v>
      </c>
      <c r="N21" t="s">
        <v>78</v>
      </c>
      <c r="O21" t="s">
        <v>168</v>
      </c>
    </row>
    <row r="22" spans="1:15">
      <c r="A22" t="s">
        <v>171</v>
      </c>
      <c r="B22" t="s">
        <v>82</v>
      </c>
      <c r="C22" t="s">
        <v>172</v>
      </c>
      <c r="D22" t="s">
        <v>173</v>
      </c>
      <c r="E22" t="s">
        <v>174</v>
      </c>
      <c r="F22" t="s">
        <v>175</v>
      </c>
      <c r="M22" t="s">
        <v>176</v>
      </c>
      <c r="N22" t="s">
        <v>55</v>
      </c>
      <c r="O22" t="s">
        <v>177</v>
      </c>
    </row>
    <row r="23" spans="1:15">
      <c r="A23" t="s">
        <v>171</v>
      </c>
      <c r="B23" t="s">
        <v>95</v>
      </c>
      <c r="E23" t="s">
        <v>178</v>
      </c>
      <c r="M23" t="s">
        <v>179</v>
      </c>
      <c r="N23" t="s">
        <v>55</v>
      </c>
      <c r="O23" t="s">
        <v>180</v>
      </c>
    </row>
    <row r="24" spans="1:15">
      <c r="A24" t="s">
        <v>181</v>
      </c>
      <c r="B24" t="s">
        <v>82</v>
      </c>
      <c r="C24" t="s">
        <v>182</v>
      </c>
      <c r="D24" t="s">
        <v>183</v>
      </c>
      <c r="E24" t="s">
        <v>184</v>
      </c>
      <c r="F24" t="s">
        <v>185</v>
      </c>
      <c r="M24" t="s">
        <v>176</v>
      </c>
      <c r="N24" t="s">
        <v>63</v>
      </c>
      <c r="O24" t="s">
        <v>186</v>
      </c>
    </row>
    <row r="25" spans="1:15">
      <c r="A25" t="s">
        <v>181</v>
      </c>
      <c r="B25" t="s">
        <v>95</v>
      </c>
      <c r="E25" t="s">
        <v>187</v>
      </c>
      <c r="M25" t="s">
        <v>179</v>
      </c>
      <c r="N25" t="s">
        <v>63</v>
      </c>
      <c r="O25" t="s">
        <v>188</v>
      </c>
    </row>
    <row r="26" spans="1:15">
      <c r="A26" t="s">
        <v>189</v>
      </c>
      <c r="B26" t="s">
        <v>82</v>
      </c>
      <c r="C26" t="s">
        <v>190</v>
      </c>
      <c r="D26" t="s">
        <v>139</v>
      </c>
      <c r="E26" t="s">
        <v>191</v>
      </c>
      <c r="F26" t="s">
        <v>192</v>
      </c>
    </row>
    <row r="27" spans="1:15">
      <c r="A27" t="s">
        <v>189</v>
      </c>
      <c r="B27" t="s">
        <v>95</v>
      </c>
      <c r="E27" t="s">
        <v>193</v>
      </c>
    </row>
    <row r="28" spans="1:15">
      <c r="A28" t="s">
        <v>194</v>
      </c>
      <c r="B28" t="s">
        <v>82</v>
      </c>
      <c r="C28" t="s">
        <v>195</v>
      </c>
      <c r="D28" t="s">
        <v>196</v>
      </c>
      <c r="E28" t="s">
        <v>191</v>
      </c>
      <c r="F28" t="s">
        <v>192</v>
      </c>
    </row>
    <row r="29" spans="1:15">
      <c r="A29" t="s">
        <v>194</v>
      </c>
      <c r="B29" t="s">
        <v>95</v>
      </c>
      <c r="E29" t="s">
        <v>193</v>
      </c>
    </row>
    <row r="30" spans="1:15">
      <c r="A30" t="s">
        <v>197</v>
      </c>
      <c r="B30" t="s">
        <v>82</v>
      </c>
      <c r="C30" t="s">
        <v>198</v>
      </c>
      <c r="D30" t="s">
        <v>133</v>
      </c>
      <c r="E30" t="s">
        <v>166</v>
      </c>
      <c r="F30" t="s">
        <v>199</v>
      </c>
    </row>
    <row r="31" spans="1:15">
      <c r="A31" t="s">
        <v>197</v>
      </c>
      <c r="B31" t="s">
        <v>95</v>
      </c>
      <c r="E31" t="s">
        <v>169</v>
      </c>
    </row>
    <row r="32" spans="1:15">
      <c r="A32" t="s">
        <v>200</v>
      </c>
      <c r="B32" t="s">
        <v>82</v>
      </c>
      <c r="C32" t="s">
        <v>201</v>
      </c>
      <c r="D32" t="s">
        <v>133</v>
      </c>
      <c r="E32" t="s">
        <v>202</v>
      </c>
      <c r="F32" t="s">
        <v>203</v>
      </c>
    </row>
    <row r="33" spans="1:6">
      <c r="A33" t="s">
        <v>200</v>
      </c>
      <c r="B33" t="s">
        <v>95</v>
      </c>
      <c r="E33" t="s">
        <v>204</v>
      </c>
    </row>
    <row r="34" spans="1:6">
      <c r="A34" t="s">
        <v>205</v>
      </c>
      <c r="B34" t="s">
        <v>82</v>
      </c>
      <c r="C34" t="s">
        <v>206</v>
      </c>
      <c r="D34" t="s">
        <v>207</v>
      </c>
      <c r="E34" t="s">
        <v>121</v>
      </c>
      <c r="F34" t="s">
        <v>122</v>
      </c>
    </row>
    <row r="35" spans="1:6">
      <c r="A35" t="s">
        <v>205</v>
      </c>
      <c r="B35" t="s">
        <v>95</v>
      </c>
      <c r="E35" t="s">
        <v>127</v>
      </c>
    </row>
    <row r="36" spans="1:6">
      <c r="A36" t="s">
        <v>208</v>
      </c>
      <c r="B36" t="s">
        <v>82</v>
      </c>
      <c r="C36" t="s">
        <v>209</v>
      </c>
      <c r="D36" t="s">
        <v>210</v>
      </c>
      <c r="E36" t="s">
        <v>134</v>
      </c>
      <c r="F36" t="s">
        <v>135</v>
      </c>
    </row>
    <row r="37" spans="1:6">
      <c r="A37" t="s">
        <v>208</v>
      </c>
      <c r="B37" t="s">
        <v>95</v>
      </c>
      <c r="E37" t="s">
        <v>136</v>
      </c>
    </row>
    <row r="38" spans="1:6">
      <c r="A38" t="s">
        <v>211</v>
      </c>
      <c r="B38" t="s">
        <v>82</v>
      </c>
      <c r="C38" t="s">
        <v>212</v>
      </c>
      <c r="D38" t="s">
        <v>133</v>
      </c>
      <c r="E38" t="s">
        <v>213</v>
      </c>
      <c r="F38" t="s">
        <v>185</v>
      </c>
    </row>
    <row r="39" spans="1:6">
      <c r="A39" t="s">
        <v>211</v>
      </c>
      <c r="B39" t="s">
        <v>95</v>
      </c>
      <c r="E39" t="s">
        <v>214</v>
      </c>
    </row>
    <row r="40" spans="1:6">
      <c r="A40" t="s">
        <v>215</v>
      </c>
      <c r="B40" t="s">
        <v>55</v>
      </c>
      <c r="C40" t="s">
        <v>216</v>
      </c>
      <c r="D40" t="s">
        <v>217</v>
      </c>
      <c r="E40" t="s">
        <v>121</v>
      </c>
      <c r="F40" t="s">
        <v>122</v>
      </c>
    </row>
    <row r="41" spans="1:6">
      <c r="A41" t="s">
        <v>215</v>
      </c>
      <c r="B41" t="s">
        <v>63</v>
      </c>
      <c r="E41" t="s">
        <v>127</v>
      </c>
    </row>
    <row r="42" spans="1:6">
      <c r="A42" t="s">
        <v>218</v>
      </c>
      <c r="B42" t="s">
        <v>55</v>
      </c>
      <c r="C42" t="s">
        <v>219</v>
      </c>
      <c r="D42" t="s">
        <v>220</v>
      </c>
      <c r="E42" t="s">
        <v>202</v>
      </c>
      <c r="F42" t="s">
        <v>203</v>
      </c>
    </row>
    <row r="43" spans="1:6">
      <c r="A43" t="s">
        <v>218</v>
      </c>
      <c r="B43" t="s">
        <v>63</v>
      </c>
      <c r="E43" t="s">
        <v>204</v>
      </c>
    </row>
    <row r="44" spans="1:6">
      <c r="A44" t="s">
        <v>221</v>
      </c>
      <c r="B44" t="s">
        <v>55</v>
      </c>
      <c r="C44" t="s">
        <v>222</v>
      </c>
      <c r="D44" t="s">
        <v>223</v>
      </c>
      <c r="E44" t="s">
        <v>121</v>
      </c>
      <c r="F44" s="26" t="s">
        <v>122</v>
      </c>
    </row>
    <row r="45" spans="1:6">
      <c r="A45" t="s">
        <v>221</v>
      </c>
      <c r="B45" t="s">
        <v>63</v>
      </c>
      <c r="E45" t="s">
        <v>127</v>
      </c>
      <c r="F45" s="26"/>
    </row>
    <row r="46" spans="1:6">
      <c r="A46" t="s">
        <v>224</v>
      </c>
      <c r="B46" t="s">
        <v>55</v>
      </c>
      <c r="C46" t="s">
        <v>225</v>
      </c>
      <c r="D46" t="s">
        <v>99</v>
      </c>
      <c r="E46" t="s">
        <v>85</v>
      </c>
      <c r="F46" s="26" t="s">
        <v>86</v>
      </c>
    </row>
    <row r="47" spans="1:6">
      <c r="A47" t="s">
        <v>224</v>
      </c>
      <c r="B47" t="s">
        <v>63</v>
      </c>
      <c r="D47" t="s">
        <v>99</v>
      </c>
      <c r="E47" t="s">
        <v>96</v>
      </c>
    </row>
    <row r="48" spans="1:6">
      <c r="A48" t="s">
        <v>311</v>
      </c>
      <c r="B48" t="s">
        <v>55</v>
      </c>
      <c r="C48" t="s">
        <v>689</v>
      </c>
      <c r="D48" t="s">
        <v>99</v>
      </c>
      <c r="E48" t="s">
        <v>85</v>
      </c>
      <c r="F48" s="26" t="s">
        <v>86</v>
      </c>
    </row>
    <row r="49" spans="1:5">
      <c r="A49" t="s">
        <v>311</v>
      </c>
      <c r="B49" t="s">
        <v>63</v>
      </c>
      <c r="D49" t="s">
        <v>99</v>
      </c>
      <c r="E49" t="s">
        <v>96</v>
      </c>
    </row>
  </sheetData>
  <phoneticPr fontId="10" type="noConversion"/>
  <dataValidations count="2">
    <dataValidation type="list" allowBlank="1" showInputMessage="1" showErrorMessage="1" sqref="C15" xr:uid="{68D8EE60-B15D-4E8D-A276-3FBAC06E63D8}">
      <formula1>$F$4:$F$24</formula1>
    </dataValidation>
    <dataValidation type="list" allowBlank="1" showInputMessage="1" showErrorMessage="1" sqref="N6:N8" xr:uid="{36329A0D-92CC-4138-BA5F-2D67A9EE5555}">
      <formula1>$N$4:$N$25</formula1>
    </dataValidation>
  </dataValidations>
  <hyperlinks>
    <hyperlink ref="K15" r:id="rId1" xr:uid="{5B7BDF9A-88BE-4A30-B7A7-7695AD268715}"/>
    <hyperlink ref="K14" r:id="rId2" xr:uid="{E58EC109-9054-4208-8D23-98079D1D23B9}"/>
    <hyperlink ref="K16" r:id="rId3" xr:uid="{E343A3A3-8154-498E-A36E-0263D0617FDC}"/>
    <hyperlink ref="N4" r:id="rId4" xr:uid="{D57024EC-45FA-4E6A-8C21-C23A9CE27F92}"/>
    <hyperlink ref="N5" r:id="rId5" xr:uid="{D8CE165D-277C-486D-91B3-0AF7A1430A31}"/>
    <hyperlink ref="N6" r:id="rId6" xr:uid="{97E05753-639E-49FF-8EDE-92FF4DACE94A}"/>
    <hyperlink ref="N7" r:id="rId7" xr:uid="{0CE48A0B-B64F-49BD-8374-F79AE551AF27}"/>
    <hyperlink ref="N9" r:id="rId8" xr:uid="{A1582DD4-ACBE-4EEC-A428-FE85FAAB5A4D}"/>
    <hyperlink ref="I4" r:id="rId9" xr:uid="{7103FE61-B750-4219-8CB5-AB8DBD5CF258}"/>
    <hyperlink ref="I6" r:id="rId10" xr:uid="{0B99C98A-2C66-4B40-A25B-A1C9404688AB}"/>
    <hyperlink ref="I5" r:id="rId11" xr:uid="{DBA34FB2-C84B-4E34-B939-840D42EED575}"/>
    <hyperlink ref="K18" r:id="rId12" xr:uid="{7EB801DF-D979-499B-B86B-F2717CB3E4ED}"/>
    <hyperlink ref="K17" r:id="rId13" xr:uid="{83A1FBA5-B4BC-4541-9472-FBD0D9E8AECA}"/>
  </hyperlinks>
  <pageMargins left="0.7" right="0.7" top="0.75" bottom="0.75" header="0.3" footer="0.3"/>
  <pageSetup paperSize="9" orientation="portrait" r:id="rId14"/>
  <tableParts count="6">
    <tablePart r:id="rId15"/>
    <tablePart r:id="rId16"/>
    <tablePart r:id="rId17"/>
    <tablePart r:id="rId18"/>
    <tablePart r:id="rId19"/>
    <tablePart r:id="rId2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9DFB4-15DA-4269-A783-BDB01491F61B}">
  <dimension ref="A1:I29"/>
  <sheetViews>
    <sheetView workbookViewId="0">
      <selection activeCell="B4" sqref="B4"/>
    </sheetView>
  </sheetViews>
  <sheetFormatPr baseColWidth="10" defaultColWidth="9.3046875" defaultRowHeight="14.6"/>
  <cols>
    <col min="2" max="4" width="14.3046875" customWidth="1"/>
    <col min="5" max="5" width="12.3046875" customWidth="1"/>
    <col min="6" max="6" width="16.15234375" customWidth="1"/>
    <col min="7" max="7" width="31.84375" customWidth="1"/>
    <col min="8" max="8" width="44.84375" customWidth="1"/>
  </cols>
  <sheetData>
    <row r="1" spans="1:9">
      <c r="A1" t="s">
        <v>226</v>
      </c>
    </row>
    <row r="3" spans="1:9">
      <c r="B3" s="8" t="s">
        <v>227</v>
      </c>
      <c r="C3" s="8" t="s">
        <v>45</v>
      </c>
      <c r="D3" s="8" t="s">
        <v>142</v>
      </c>
      <c r="E3" s="8" t="s">
        <v>143</v>
      </c>
      <c r="F3" s="8" t="s">
        <v>228</v>
      </c>
      <c r="G3" s="8" t="s">
        <v>229</v>
      </c>
      <c r="H3" s="8" t="s">
        <v>230</v>
      </c>
      <c r="I3" s="8" t="s">
        <v>231</v>
      </c>
    </row>
    <row r="4" spans="1:9">
      <c r="B4">
        <v>26</v>
      </c>
      <c r="C4" t="s">
        <v>232</v>
      </c>
      <c r="D4" t="s">
        <v>233</v>
      </c>
      <c r="F4" t="s">
        <v>234</v>
      </c>
      <c r="G4" t="s">
        <v>235</v>
      </c>
      <c r="H4" t="s">
        <v>236</v>
      </c>
      <c r="I4" t="s">
        <v>237</v>
      </c>
    </row>
    <row r="5" spans="1:9">
      <c r="B5">
        <v>25</v>
      </c>
      <c r="C5" t="s">
        <v>238</v>
      </c>
      <c r="D5" t="s">
        <v>233</v>
      </c>
      <c r="F5" t="s">
        <v>234</v>
      </c>
      <c r="G5" t="s">
        <v>239</v>
      </c>
      <c r="H5" t="s">
        <v>236</v>
      </c>
      <c r="I5" t="s">
        <v>237</v>
      </c>
    </row>
    <row r="6" spans="1:9">
      <c r="B6">
        <v>24</v>
      </c>
      <c r="C6" t="s">
        <v>232</v>
      </c>
      <c r="D6" t="s">
        <v>240</v>
      </c>
      <c r="E6" t="s">
        <v>241</v>
      </c>
      <c r="F6" t="s">
        <v>242</v>
      </c>
      <c r="G6" t="s">
        <v>235</v>
      </c>
      <c r="H6" t="s">
        <v>243</v>
      </c>
      <c r="I6" t="s">
        <v>244</v>
      </c>
    </row>
    <row r="7" spans="1:9">
      <c r="B7">
        <v>23</v>
      </c>
      <c r="C7" t="s">
        <v>238</v>
      </c>
      <c r="D7" t="s">
        <v>240</v>
      </c>
      <c r="E7" t="s">
        <v>241</v>
      </c>
      <c r="F7" t="s">
        <v>242</v>
      </c>
      <c r="G7" t="s">
        <v>239</v>
      </c>
      <c r="H7" t="s">
        <v>245</v>
      </c>
      <c r="I7" t="s">
        <v>244</v>
      </c>
    </row>
    <row r="8" spans="1:9">
      <c r="B8">
        <v>22</v>
      </c>
      <c r="C8" t="s">
        <v>232</v>
      </c>
      <c r="D8" t="s">
        <v>246</v>
      </c>
      <c r="H8" t="s">
        <v>247</v>
      </c>
      <c r="I8" t="s">
        <v>248</v>
      </c>
    </row>
    <row r="9" spans="1:9">
      <c r="B9">
        <v>21</v>
      </c>
      <c r="C9" t="s">
        <v>238</v>
      </c>
      <c r="D9" t="s">
        <v>246</v>
      </c>
      <c r="H9" t="s">
        <v>249</v>
      </c>
      <c r="I9" t="s">
        <v>248</v>
      </c>
    </row>
    <row r="10" spans="1:9">
      <c r="B10">
        <v>20</v>
      </c>
      <c r="C10" t="s">
        <v>232</v>
      </c>
      <c r="D10" t="s">
        <v>250</v>
      </c>
      <c r="H10" t="s">
        <v>251</v>
      </c>
      <c r="I10" t="s">
        <v>248</v>
      </c>
    </row>
    <row r="11" spans="1:9">
      <c r="B11">
        <v>19</v>
      </c>
      <c r="C11" t="s">
        <v>238</v>
      </c>
      <c r="D11" t="s">
        <v>250</v>
      </c>
      <c r="H11" t="s">
        <v>252</v>
      </c>
      <c r="I11" t="s">
        <v>248</v>
      </c>
    </row>
    <row r="12" spans="1:9">
      <c r="B12">
        <v>18</v>
      </c>
      <c r="C12" t="s">
        <v>232</v>
      </c>
      <c r="D12" t="s">
        <v>253</v>
      </c>
      <c r="H12" t="s">
        <v>254</v>
      </c>
      <c r="I12" t="s">
        <v>255</v>
      </c>
    </row>
    <row r="13" spans="1:9">
      <c r="B13">
        <v>17</v>
      </c>
      <c r="C13" t="s">
        <v>238</v>
      </c>
      <c r="D13" t="s">
        <v>253</v>
      </c>
      <c r="H13" t="s">
        <v>256</v>
      </c>
      <c r="I13" t="s">
        <v>255</v>
      </c>
    </row>
    <row r="14" spans="1:9">
      <c r="B14">
        <v>16</v>
      </c>
      <c r="C14" t="s">
        <v>232</v>
      </c>
      <c r="D14" t="s">
        <v>257</v>
      </c>
      <c r="E14" t="s">
        <v>240</v>
      </c>
      <c r="F14" t="s">
        <v>258</v>
      </c>
      <c r="G14" t="s">
        <v>259</v>
      </c>
      <c r="H14" t="s">
        <v>260</v>
      </c>
      <c r="I14" t="s">
        <v>244</v>
      </c>
    </row>
    <row r="15" spans="1:9">
      <c r="B15">
        <v>15</v>
      </c>
      <c r="C15" t="s">
        <v>238</v>
      </c>
      <c r="D15" t="s">
        <v>257</v>
      </c>
      <c r="E15" t="s">
        <v>240</v>
      </c>
      <c r="F15" t="s">
        <v>258</v>
      </c>
      <c r="G15" t="s">
        <v>261</v>
      </c>
      <c r="H15" t="s">
        <v>262</v>
      </c>
      <c r="I15" t="s">
        <v>244</v>
      </c>
    </row>
    <row r="16" spans="1:9">
      <c r="B16">
        <v>14</v>
      </c>
      <c r="C16" t="s">
        <v>232</v>
      </c>
      <c r="D16" t="s">
        <v>263</v>
      </c>
      <c r="H16" t="s">
        <v>264</v>
      </c>
      <c r="I16" t="s">
        <v>265</v>
      </c>
    </row>
    <row r="17" spans="2:9">
      <c r="B17">
        <v>13</v>
      </c>
      <c r="C17" t="s">
        <v>238</v>
      </c>
      <c r="D17" t="s">
        <v>263</v>
      </c>
      <c r="H17" t="s">
        <v>266</v>
      </c>
      <c r="I17" t="s">
        <v>265</v>
      </c>
    </row>
    <row r="18" spans="2:9">
      <c r="B18">
        <v>12</v>
      </c>
      <c r="C18" t="s">
        <v>232</v>
      </c>
      <c r="D18" t="s">
        <v>267</v>
      </c>
      <c r="H18" t="s">
        <v>268</v>
      </c>
      <c r="I18" t="s">
        <v>269</v>
      </c>
    </row>
    <row r="19" spans="2:9">
      <c r="B19">
        <v>11</v>
      </c>
      <c r="C19" t="s">
        <v>238</v>
      </c>
      <c r="D19" t="s">
        <v>267</v>
      </c>
      <c r="H19" t="s">
        <v>270</v>
      </c>
      <c r="I19" t="s">
        <v>269</v>
      </c>
    </row>
    <row r="20" spans="2:9">
      <c r="B20">
        <v>10</v>
      </c>
      <c r="C20" t="s">
        <v>232</v>
      </c>
      <c r="D20" t="s">
        <v>271</v>
      </c>
      <c r="E20" t="s">
        <v>257</v>
      </c>
      <c r="F20" t="s">
        <v>272</v>
      </c>
      <c r="G20" t="s">
        <v>273</v>
      </c>
      <c r="H20" t="s">
        <v>274</v>
      </c>
      <c r="I20" t="s">
        <v>244</v>
      </c>
    </row>
    <row r="21" spans="2:9">
      <c r="B21">
        <v>9</v>
      </c>
      <c r="C21" t="s">
        <v>238</v>
      </c>
      <c r="D21" t="s">
        <v>271</v>
      </c>
      <c r="E21" t="s">
        <v>257</v>
      </c>
      <c r="F21" t="s">
        <v>272</v>
      </c>
      <c r="G21" t="s">
        <v>275</v>
      </c>
      <c r="H21" t="s">
        <v>276</v>
      </c>
      <c r="I21" t="s">
        <v>244</v>
      </c>
    </row>
    <row r="22" spans="2:9">
      <c r="B22">
        <v>8</v>
      </c>
      <c r="C22" t="s">
        <v>232</v>
      </c>
      <c r="D22" t="s">
        <v>277</v>
      </c>
      <c r="H22" t="s">
        <v>278</v>
      </c>
      <c r="I22" t="s">
        <v>279</v>
      </c>
    </row>
    <row r="23" spans="2:9">
      <c r="B23">
        <v>7</v>
      </c>
      <c r="C23" t="s">
        <v>238</v>
      </c>
      <c r="D23" t="s">
        <v>277</v>
      </c>
      <c r="H23" t="s">
        <v>280</v>
      </c>
      <c r="I23" t="s">
        <v>279</v>
      </c>
    </row>
    <row r="24" spans="2:9">
      <c r="B24">
        <v>6</v>
      </c>
      <c r="C24" t="s">
        <v>232</v>
      </c>
      <c r="D24" t="s">
        <v>281</v>
      </c>
      <c r="H24" t="s">
        <v>282</v>
      </c>
      <c r="I24" t="s">
        <v>283</v>
      </c>
    </row>
    <row r="25" spans="2:9">
      <c r="B25">
        <v>5</v>
      </c>
      <c r="C25" t="s">
        <v>238</v>
      </c>
      <c r="D25" t="s">
        <v>281</v>
      </c>
      <c r="H25" t="s">
        <v>284</v>
      </c>
      <c r="I25" t="s">
        <v>283</v>
      </c>
    </row>
    <row r="26" spans="2:9">
      <c r="B26">
        <v>4</v>
      </c>
      <c r="C26" t="s">
        <v>232</v>
      </c>
      <c r="D26" t="s">
        <v>285</v>
      </c>
      <c r="E26" t="s">
        <v>286</v>
      </c>
      <c r="F26" t="s">
        <v>287</v>
      </c>
      <c r="G26" t="s">
        <v>288</v>
      </c>
      <c r="H26" t="s">
        <v>289</v>
      </c>
      <c r="I26" t="s">
        <v>290</v>
      </c>
    </row>
    <row r="27" spans="2:9">
      <c r="B27">
        <v>3</v>
      </c>
      <c r="C27" t="s">
        <v>238</v>
      </c>
      <c r="D27" t="s">
        <v>285</v>
      </c>
      <c r="E27" t="s">
        <v>286</v>
      </c>
      <c r="F27" t="s">
        <v>287</v>
      </c>
      <c r="G27" t="s">
        <v>291</v>
      </c>
      <c r="H27" t="s">
        <v>292</v>
      </c>
      <c r="I27" t="s">
        <v>290</v>
      </c>
    </row>
    <row r="28" spans="2:9">
      <c r="B28">
        <v>2</v>
      </c>
      <c r="C28" t="s">
        <v>232</v>
      </c>
      <c r="D28" t="s">
        <v>293</v>
      </c>
      <c r="E28" t="s">
        <v>285</v>
      </c>
      <c r="F28" t="s">
        <v>294</v>
      </c>
      <c r="G28" t="s">
        <v>295</v>
      </c>
      <c r="H28" t="s">
        <v>296</v>
      </c>
      <c r="I28" t="s">
        <v>290</v>
      </c>
    </row>
    <row r="29" spans="2:9">
      <c r="B29">
        <v>1</v>
      </c>
      <c r="C29" t="s">
        <v>238</v>
      </c>
      <c r="D29" t="s">
        <v>293</v>
      </c>
      <c r="E29" t="s">
        <v>285</v>
      </c>
      <c r="F29" t="s">
        <v>294</v>
      </c>
      <c r="G29" t="s">
        <v>297</v>
      </c>
      <c r="H29" t="s">
        <v>298</v>
      </c>
      <c r="I29" t="s">
        <v>290</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C6EFE571-2BFF-49A0-98E8-6DAD7352B049}">
          <x14:formula1>
            <xm:f>Dimension!$M$3:$M$16</xm:f>
          </x14:formula1>
          <xm:sqref>F3:F29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8DBFC-A87D-4872-9DC4-E087A650BC4D}">
  <dimension ref="A1:Q153"/>
  <sheetViews>
    <sheetView zoomScale="85" zoomScaleNormal="85" workbookViewId="0">
      <selection activeCell="G4" sqref="G4"/>
    </sheetView>
  </sheetViews>
  <sheetFormatPr baseColWidth="10" defaultColWidth="9.3046875" defaultRowHeight="14.6" outlineLevelCol="1"/>
  <cols>
    <col min="4" max="4" width="12.3046875" customWidth="1"/>
    <col min="5" max="5" width="10.84375" bestFit="1" customWidth="1"/>
    <col min="7" max="7" width="23.69140625" bestFit="1" customWidth="1"/>
    <col min="8" max="9" width="13.3046875" bestFit="1" customWidth="1"/>
    <col min="10" max="10" width="29.69140625" style="6" bestFit="1" customWidth="1"/>
    <col min="11" max="11" width="72" style="6" customWidth="1"/>
    <col min="12" max="12" width="18.69140625" customWidth="1" outlineLevel="1"/>
    <col min="13" max="13" width="34.15234375" customWidth="1" outlineLevel="1"/>
    <col min="14" max="14" width="68.15234375" customWidth="1" outlineLevel="1"/>
    <col min="15" max="15" width="9.3046875" customWidth="1" outlineLevel="1"/>
    <col min="16" max="16" width="30.53515625" bestFit="1" customWidth="1"/>
    <col min="17" max="17" width="44.53515625" bestFit="1" customWidth="1"/>
  </cols>
  <sheetData>
    <row r="1" spans="1:17">
      <c r="A1" t="s">
        <v>299</v>
      </c>
    </row>
    <row r="3" spans="1:17">
      <c r="B3" t="s">
        <v>300</v>
      </c>
      <c r="C3" t="s">
        <v>45</v>
      </c>
      <c r="D3" t="s">
        <v>142</v>
      </c>
      <c r="E3" t="s">
        <v>143</v>
      </c>
      <c r="F3" t="s">
        <v>301</v>
      </c>
      <c r="G3" t="s">
        <v>67</v>
      </c>
      <c r="H3" t="s">
        <v>302</v>
      </c>
      <c r="I3" t="s">
        <v>228</v>
      </c>
      <c r="J3" t="s">
        <v>303</v>
      </c>
      <c r="K3" s="6" t="s">
        <v>304</v>
      </c>
      <c r="L3" t="s">
        <v>305</v>
      </c>
      <c r="M3" t="s">
        <v>306</v>
      </c>
      <c r="N3" t="s">
        <v>307</v>
      </c>
      <c r="O3" t="s">
        <v>15</v>
      </c>
      <c r="P3" t="s">
        <v>308</v>
      </c>
      <c r="Q3" t="s">
        <v>309</v>
      </c>
    </row>
    <row r="4" spans="1:17" ht="29.15">
      <c r="B4" s="31">
        <v>150</v>
      </c>
      <c r="C4" s="31" t="s">
        <v>55</v>
      </c>
      <c r="D4" s="17">
        <v>46054</v>
      </c>
      <c r="E4" s="17"/>
      <c r="F4" t="s">
        <v>310</v>
      </c>
      <c r="G4" t="s">
        <v>311</v>
      </c>
      <c r="H4" t="s">
        <v>312</v>
      </c>
      <c r="I4" t="s">
        <v>128</v>
      </c>
      <c r="J4" t="s">
        <v>313</v>
      </c>
      <c r="K4" s="6" t="s">
        <v>314</v>
      </c>
      <c r="L4" t="s">
        <v>177</v>
      </c>
      <c r="M4" t="s">
        <v>315</v>
      </c>
      <c r="N4" s="6" t="s">
        <v>316</v>
      </c>
    </row>
    <row r="5" spans="1:17" ht="29.15">
      <c r="B5" s="31">
        <v>149</v>
      </c>
      <c r="C5" s="31" t="s">
        <v>63</v>
      </c>
      <c r="D5" s="17"/>
      <c r="E5" s="17"/>
      <c r="J5"/>
      <c r="K5" s="6" t="s">
        <v>688</v>
      </c>
      <c r="L5" t="s">
        <v>186</v>
      </c>
      <c r="M5" t="s">
        <v>315</v>
      </c>
      <c r="N5" t="s">
        <v>687</v>
      </c>
    </row>
    <row r="6" spans="1:17" ht="72.900000000000006">
      <c r="B6" s="31">
        <v>148</v>
      </c>
      <c r="C6" s="31" t="s">
        <v>55</v>
      </c>
      <c r="D6" s="17">
        <v>45658</v>
      </c>
      <c r="E6" s="17">
        <v>45986</v>
      </c>
      <c r="F6" t="s">
        <v>310</v>
      </c>
      <c r="G6" t="s">
        <v>317</v>
      </c>
      <c r="H6" t="s">
        <v>99</v>
      </c>
      <c r="I6" t="s">
        <v>128</v>
      </c>
      <c r="J6" t="s">
        <v>313</v>
      </c>
      <c r="K6" s="6" t="s">
        <v>318</v>
      </c>
      <c r="L6" t="s">
        <v>177</v>
      </c>
      <c r="M6" t="s">
        <v>315</v>
      </c>
      <c r="N6" s="6" t="s">
        <v>319</v>
      </c>
      <c r="O6">
        <v>4.5</v>
      </c>
    </row>
    <row r="7" spans="1:17" ht="72.900000000000006">
      <c r="B7" s="31">
        <v>147</v>
      </c>
      <c r="C7" s="31" t="s">
        <v>63</v>
      </c>
      <c r="D7" s="17"/>
      <c r="E7" s="17"/>
      <c r="H7" t="s">
        <v>99</v>
      </c>
      <c r="I7" t="s">
        <v>128</v>
      </c>
      <c r="J7" t="s">
        <v>320</v>
      </c>
      <c r="K7" s="6" t="s">
        <v>321</v>
      </c>
      <c r="L7" t="s">
        <v>186</v>
      </c>
      <c r="M7" t="s">
        <v>315</v>
      </c>
      <c r="N7" s="7" t="s">
        <v>322</v>
      </c>
      <c r="O7">
        <v>4.5</v>
      </c>
    </row>
    <row r="8" spans="1:17" ht="116.6">
      <c r="B8" s="31">
        <v>146</v>
      </c>
      <c r="C8" s="31" t="s">
        <v>55</v>
      </c>
      <c r="D8" s="17">
        <v>45931</v>
      </c>
      <c r="E8" s="17"/>
      <c r="F8" t="s">
        <v>323</v>
      </c>
      <c r="G8" s="17" t="s">
        <v>224</v>
      </c>
      <c r="H8" t="s">
        <v>99</v>
      </c>
      <c r="I8" t="s">
        <v>128</v>
      </c>
      <c r="J8" t="s">
        <v>324</v>
      </c>
      <c r="K8" s="6" t="s">
        <v>325</v>
      </c>
      <c r="L8" t="s">
        <v>177</v>
      </c>
      <c r="M8" s="6" t="s">
        <v>326</v>
      </c>
      <c r="N8" s="6" t="s">
        <v>327</v>
      </c>
      <c r="O8">
        <v>2</v>
      </c>
      <c r="Q8">
        <v>1</v>
      </c>
    </row>
    <row r="9" spans="1:17">
      <c r="B9" s="31">
        <v>145</v>
      </c>
      <c r="C9" s="31" t="s">
        <v>55</v>
      </c>
      <c r="D9" s="17"/>
      <c r="E9" s="17"/>
      <c r="G9" s="17"/>
      <c r="J9"/>
      <c r="M9" t="s">
        <v>328</v>
      </c>
      <c r="N9" s="6" t="s">
        <v>329</v>
      </c>
      <c r="Q9">
        <v>1</v>
      </c>
    </row>
    <row r="10" spans="1:17">
      <c r="B10" s="31">
        <v>144</v>
      </c>
      <c r="C10" s="31" t="s">
        <v>55</v>
      </c>
      <c r="D10" s="17"/>
      <c r="E10" s="17"/>
      <c r="G10" s="17"/>
      <c r="J10"/>
      <c r="M10" s="45" t="s">
        <v>330</v>
      </c>
      <c r="N10" s="6"/>
      <c r="Q10">
        <v>1</v>
      </c>
    </row>
    <row r="11" spans="1:17">
      <c r="B11" s="31">
        <v>143</v>
      </c>
      <c r="C11" s="31" t="s">
        <v>55</v>
      </c>
      <c r="D11" s="17"/>
      <c r="E11" s="17"/>
      <c r="G11" s="17"/>
      <c r="J11"/>
      <c r="M11" t="s">
        <v>331</v>
      </c>
      <c r="N11" s="6"/>
      <c r="Q11">
        <v>1</v>
      </c>
    </row>
    <row r="12" spans="1:17">
      <c r="B12" s="31">
        <v>142</v>
      </c>
      <c r="C12" s="31" t="s">
        <v>55</v>
      </c>
      <c r="D12" s="17">
        <v>45931</v>
      </c>
      <c r="E12" s="17">
        <v>45932</v>
      </c>
      <c r="F12" t="s">
        <v>310</v>
      </c>
      <c r="G12" s="17" t="s">
        <v>332</v>
      </c>
      <c r="H12" t="s">
        <v>333</v>
      </c>
      <c r="I12" t="s">
        <v>128</v>
      </c>
      <c r="J12" t="s">
        <v>334</v>
      </c>
      <c r="K12" s="6" t="s">
        <v>335</v>
      </c>
      <c r="N12" s="6"/>
    </row>
    <row r="13" spans="1:17">
      <c r="B13" s="31">
        <v>141</v>
      </c>
      <c r="C13" s="31" t="s">
        <v>63</v>
      </c>
      <c r="D13" s="17"/>
      <c r="E13" s="17"/>
      <c r="G13" s="17"/>
      <c r="J13"/>
      <c r="N13" s="6"/>
    </row>
    <row r="14" spans="1:17" ht="29.15">
      <c r="B14" s="31">
        <v>140</v>
      </c>
      <c r="C14" s="31" t="s">
        <v>55</v>
      </c>
      <c r="D14" s="17">
        <v>45931</v>
      </c>
      <c r="E14" s="17">
        <v>46022</v>
      </c>
      <c r="F14" t="s">
        <v>310</v>
      </c>
      <c r="G14" s="17" t="s">
        <v>336</v>
      </c>
      <c r="H14" t="s">
        <v>99</v>
      </c>
      <c r="I14" t="s">
        <v>128</v>
      </c>
      <c r="J14" t="s">
        <v>337</v>
      </c>
      <c r="K14" s="6" t="s">
        <v>338</v>
      </c>
      <c r="N14" s="6"/>
    </row>
    <row r="15" spans="1:17">
      <c r="B15" s="31">
        <v>139</v>
      </c>
      <c r="C15" s="31" t="s">
        <v>63</v>
      </c>
      <c r="D15" s="17"/>
      <c r="E15" s="17"/>
      <c r="J15"/>
      <c r="N15" s="6"/>
    </row>
    <row r="16" spans="1:17">
      <c r="B16" s="31">
        <v>138</v>
      </c>
      <c r="C16" s="31" t="s">
        <v>55</v>
      </c>
      <c r="D16" s="17">
        <v>45908</v>
      </c>
      <c r="E16" s="17">
        <v>45911</v>
      </c>
      <c r="F16" t="s">
        <v>310</v>
      </c>
      <c r="G16" t="s">
        <v>218</v>
      </c>
      <c r="H16" t="s">
        <v>339</v>
      </c>
      <c r="I16" t="s">
        <v>128</v>
      </c>
      <c r="J16" t="s">
        <v>334</v>
      </c>
      <c r="K16" s="6" t="s">
        <v>340</v>
      </c>
      <c r="L16" t="s">
        <v>177</v>
      </c>
      <c r="M16" t="s">
        <v>341</v>
      </c>
      <c r="N16" s="6"/>
      <c r="O16">
        <v>3</v>
      </c>
    </row>
    <row r="17" spans="2:16">
      <c r="B17" s="31">
        <v>137</v>
      </c>
      <c r="C17" s="31" t="s">
        <v>63</v>
      </c>
      <c r="D17" s="17">
        <v>45908</v>
      </c>
      <c r="E17" s="17">
        <v>45911</v>
      </c>
      <c r="F17" t="s">
        <v>310</v>
      </c>
      <c r="G17" t="s">
        <v>218</v>
      </c>
      <c r="H17" t="s">
        <v>339</v>
      </c>
      <c r="I17" t="s">
        <v>128</v>
      </c>
      <c r="J17" t="s">
        <v>334</v>
      </c>
      <c r="K17" s="44" t="s">
        <v>342</v>
      </c>
      <c r="L17" t="s">
        <v>186</v>
      </c>
      <c r="M17" t="s">
        <v>341</v>
      </c>
      <c r="N17" s="44"/>
      <c r="O17">
        <v>3</v>
      </c>
    </row>
    <row r="18" spans="2:16" ht="72.900000000000006">
      <c r="B18" s="31">
        <v>136</v>
      </c>
      <c r="C18" s="31" t="s">
        <v>55</v>
      </c>
      <c r="D18" s="17">
        <v>45870</v>
      </c>
      <c r="E18" s="17">
        <v>46022</v>
      </c>
      <c r="F18" t="s">
        <v>310</v>
      </c>
      <c r="G18" t="s">
        <v>221</v>
      </c>
      <c r="H18" t="s">
        <v>223</v>
      </c>
      <c r="I18" t="s">
        <v>128</v>
      </c>
      <c r="J18" t="s">
        <v>324</v>
      </c>
      <c r="K18" s="6" t="s">
        <v>343</v>
      </c>
      <c r="L18" t="s">
        <v>180</v>
      </c>
      <c r="M18" t="s">
        <v>344</v>
      </c>
      <c r="N18" s="6" t="s">
        <v>345</v>
      </c>
      <c r="O18">
        <v>4</v>
      </c>
    </row>
    <row r="19" spans="2:16" ht="47.15">
      <c r="B19" s="31">
        <v>135</v>
      </c>
      <c r="C19" s="31" t="s">
        <v>63</v>
      </c>
      <c r="D19" s="17">
        <v>45870</v>
      </c>
      <c r="E19" s="17">
        <v>46022</v>
      </c>
      <c r="F19" t="s">
        <v>310</v>
      </c>
      <c r="G19" t="s">
        <v>221</v>
      </c>
      <c r="H19" t="s">
        <v>223</v>
      </c>
      <c r="I19" t="s">
        <v>128</v>
      </c>
      <c r="J19" t="s">
        <v>324</v>
      </c>
      <c r="K19" s="44" t="s">
        <v>346</v>
      </c>
      <c r="L19" t="s">
        <v>188</v>
      </c>
      <c r="M19" s="43" t="s">
        <v>347</v>
      </c>
      <c r="N19" s="44" t="s">
        <v>348</v>
      </c>
      <c r="O19">
        <v>4</v>
      </c>
    </row>
    <row r="20" spans="2:16" ht="102">
      <c r="B20" s="31">
        <v>134</v>
      </c>
      <c r="C20" s="31" t="s">
        <v>55</v>
      </c>
      <c r="D20" s="17">
        <v>45727</v>
      </c>
      <c r="E20" s="17">
        <v>45772</v>
      </c>
      <c r="F20" t="s">
        <v>310</v>
      </c>
      <c r="G20" t="s">
        <v>100</v>
      </c>
      <c r="H20" t="s">
        <v>349</v>
      </c>
      <c r="I20" t="s">
        <v>128</v>
      </c>
      <c r="J20" t="s">
        <v>337</v>
      </c>
      <c r="K20" s="6" t="s">
        <v>350</v>
      </c>
      <c r="L20" t="s">
        <v>177</v>
      </c>
      <c r="M20" t="s">
        <v>315</v>
      </c>
      <c r="N20" s="6" t="s">
        <v>351</v>
      </c>
      <c r="O20">
        <v>4.7</v>
      </c>
    </row>
    <row r="21" spans="2:16" ht="99.45">
      <c r="B21" s="31">
        <v>133</v>
      </c>
      <c r="C21" s="31" t="s">
        <v>63</v>
      </c>
      <c r="D21" s="17">
        <v>45727</v>
      </c>
      <c r="E21" s="17">
        <v>45772</v>
      </c>
      <c r="F21" t="s">
        <v>310</v>
      </c>
      <c r="G21" t="s">
        <v>100</v>
      </c>
      <c r="H21" t="s">
        <v>349</v>
      </c>
      <c r="I21" t="s">
        <v>128</v>
      </c>
      <c r="J21" t="s">
        <v>352</v>
      </c>
      <c r="K21" s="41" t="s">
        <v>353</v>
      </c>
      <c r="L21" t="s">
        <v>186</v>
      </c>
      <c r="M21" t="s">
        <v>315</v>
      </c>
      <c r="N21" s="41" t="s">
        <v>354</v>
      </c>
      <c r="O21">
        <v>4.7</v>
      </c>
    </row>
    <row r="22" spans="2:16" ht="72.900000000000006">
      <c r="B22" s="31">
        <v>132</v>
      </c>
      <c r="C22" s="31" t="s">
        <v>55</v>
      </c>
      <c r="J22"/>
      <c r="L22" t="s">
        <v>180</v>
      </c>
      <c r="M22" t="s">
        <v>355</v>
      </c>
      <c r="N22" s="6" t="s">
        <v>356</v>
      </c>
      <c r="O22">
        <v>4.7</v>
      </c>
    </row>
    <row r="23" spans="2:16" ht="57">
      <c r="B23" s="31">
        <v>131</v>
      </c>
      <c r="C23" s="31" t="s">
        <v>63</v>
      </c>
      <c r="D23" s="17"/>
      <c r="E23" s="17"/>
      <c r="J23"/>
      <c r="L23" t="s">
        <v>188</v>
      </c>
      <c r="M23" t="s">
        <v>357</v>
      </c>
      <c r="N23" s="41" t="s">
        <v>358</v>
      </c>
      <c r="O23">
        <v>4.7</v>
      </c>
    </row>
    <row r="24" spans="2:16" ht="58.3">
      <c r="B24" s="31">
        <v>130</v>
      </c>
      <c r="C24" s="31" t="s">
        <v>55</v>
      </c>
      <c r="D24" s="17">
        <v>45685</v>
      </c>
      <c r="E24" s="17">
        <v>45686</v>
      </c>
      <c r="F24" t="s">
        <v>310</v>
      </c>
      <c r="G24" t="s">
        <v>317</v>
      </c>
      <c r="H24" t="s">
        <v>99</v>
      </c>
      <c r="I24" t="s">
        <v>128</v>
      </c>
      <c r="J24" t="s">
        <v>313</v>
      </c>
      <c r="K24" s="6" t="s">
        <v>359</v>
      </c>
      <c r="L24" t="s">
        <v>177</v>
      </c>
      <c r="M24" t="s">
        <v>315</v>
      </c>
      <c r="N24" s="6" t="s">
        <v>319</v>
      </c>
      <c r="O24">
        <v>4.5</v>
      </c>
    </row>
    <row r="25" spans="2:16" ht="43.75">
      <c r="B25" s="31">
        <v>129</v>
      </c>
      <c r="C25" s="31" t="s">
        <v>63</v>
      </c>
      <c r="D25" s="17">
        <v>45685</v>
      </c>
      <c r="E25" s="17">
        <v>45686</v>
      </c>
      <c r="F25" t="s">
        <v>310</v>
      </c>
      <c r="G25" t="s">
        <v>317</v>
      </c>
      <c r="H25" t="s">
        <v>99</v>
      </c>
      <c r="I25" t="s">
        <v>128</v>
      </c>
      <c r="J25" t="s">
        <v>320</v>
      </c>
      <c r="K25" s="6" t="s">
        <v>360</v>
      </c>
      <c r="L25" t="s">
        <v>186</v>
      </c>
      <c r="M25" t="s">
        <v>315</v>
      </c>
      <c r="N25" s="7" t="s">
        <v>322</v>
      </c>
      <c r="O25">
        <v>4.5</v>
      </c>
    </row>
    <row r="26" spans="2:16" ht="29.15">
      <c r="B26" s="31">
        <v>128</v>
      </c>
      <c r="C26" s="31" t="s">
        <v>55</v>
      </c>
      <c r="D26" s="17">
        <v>45643</v>
      </c>
      <c r="E26" s="17">
        <v>45644</v>
      </c>
      <c r="F26" t="s">
        <v>310</v>
      </c>
      <c r="G26" t="s">
        <v>215</v>
      </c>
      <c r="H26" t="s">
        <v>333</v>
      </c>
      <c r="I26" t="s">
        <v>128</v>
      </c>
      <c r="J26" t="s">
        <v>313</v>
      </c>
      <c r="K26" s="6" t="s">
        <v>361</v>
      </c>
      <c r="L26" t="s">
        <v>177</v>
      </c>
      <c r="M26" t="s">
        <v>315</v>
      </c>
      <c r="N26" s="6"/>
      <c r="O26">
        <v>4.7</v>
      </c>
    </row>
    <row r="27" spans="2:16">
      <c r="B27" s="31">
        <v>127</v>
      </c>
      <c r="C27" s="31" t="s">
        <v>63</v>
      </c>
      <c r="D27" s="17">
        <v>45643</v>
      </c>
      <c r="E27" s="17">
        <v>45644</v>
      </c>
      <c r="F27" t="s">
        <v>310</v>
      </c>
      <c r="G27" t="s">
        <v>215</v>
      </c>
      <c r="I27" t="s">
        <v>128</v>
      </c>
      <c r="J27" t="s">
        <v>320</v>
      </c>
      <c r="K27" s="6" t="s">
        <v>362</v>
      </c>
      <c r="L27" t="s">
        <v>186</v>
      </c>
      <c r="M27" t="s">
        <v>315</v>
      </c>
      <c r="N27" s="6"/>
      <c r="O27">
        <v>4.7</v>
      </c>
    </row>
    <row r="28" spans="2:16" ht="43.75">
      <c r="B28" s="31">
        <v>126</v>
      </c>
      <c r="C28" s="31" t="s">
        <v>55</v>
      </c>
      <c r="D28" s="17">
        <v>45474</v>
      </c>
      <c r="E28" s="17">
        <v>45870</v>
      </c>
      <c r="F28" t="s">
        <v>310</v>
      </c>
      <c r="G28" t="s">
        <v>363</v>
      </c>
      <c r="H28" t="s">
        <v>364</v>
      </c>
      <c r="I28" t="s">
        <v>128</v>
      </c>
      <c r="J28" t="s">
        <v>313</v>
      </c>
      <c r="K28" s="6" t="s">
        <v>365</v>
      </c>
      <c r="L28" t="s">
        <v>177</v>
      </c>
      <c r="M28" t="s">
        <v>315</v>
      </c>
      <c r="N28" s="6" t="s">
        <v>366</v>
      </c>
      <c r="O28">
        <v>4.8</v>
      </c>
    </row>
    <row r="29" spans="2:16" ht="43.75">
      <c r="B29" s="31">
        <v>125</v>
      </c>
      <c r="C29" s="31" t="s">
        <v>63</v>
      </c>
      <c r="D29" s="17">
        <v>45474</v>
      </c>
      <c r="E29" s="17">
        <v>45870</v>
      </c>
      <c r="F29" t="s">
        <v>310</v>
      </c>
      <c r="G29" t="s">
        <v>363</v>
      </c>
      <c r="H29" t="s">
        <v>364</v>
      </c>
      <c r="I29" t="s">
        <v>128</v>
      </c>
      <c r="J29" t="s">
        <v>320</v>
      </c>
      <c r="K29" s="6" t="s">
        <v>367</v>
      </c>
      <c r="L29" t="s">
        <v>186</v>
      </c>
      <c r="M29" t="s">
        <v>315</v>
      </c>
      <c r="N29" s="6" t="s">
        <v>368</v>
      </c>
      <c r="O29">
        <v>4.8</v>
      </c>
    </row>
    <row r="30" spans="2:16" ht="58.3">
      <c r="B30" s="31">
        <v>124</v>
      </c>
      <c r="C30" s="31" t="s">
        <v>55</v>
      </c>
      <c r="D30" s="17">
        <v>45474</v>
      </c>
      <c r="E30" s="17">
        <v>45870</v>
      </c>
      <c r="F30" t="s">
        <v>323</v>
      </c>
      <c r="G30" t="s">
        <v>363</v>
      </c>
      <c r="H30" t="s">
        <v>369</v>
      </c>
      <c r="I30" t="s">
        <v>128</v>
      </c>
      <c r="J30" t="s">
        <v>370</v>
      </c>
      <c r="K30" s="6" t="s">
        <v>371</v>
      </c>
      <c r="L30" t="s">
        <v>177</v>
      </c>
      <c r="M30" t="s">
        <v>315</v>
      </c>
      <c r="N30" s="6" t="s">
        <v>372</v>
      </c>
      <c r="O30">
        <v>4.7</v>
      </c>
      <c r="P30">
        <v>1</v>
      </c>
    </row>
    <row r="31" spans="2:16" ht="43.75">
      <c r="B31" s="31">
        <v>123</v>
      </c>
      <c r="C31" s="31" t="s">
        <v>63</v>
      </c>
      <c r="D31" s="17">
        <v>45474</v>
      </c>
      <c r="E31" s="17">
        <v>45870</v>
      </c>
      <c r="F31" t="s">
        <v>323</v>
      </c>
      <c r="G31" t="s">
        <v>363</v>
      </c>
      <c r="H31" t="s">
        <v>369</v>
      </c>
      <c r="I31" t="s">
        <v>128</v>
      </c>
      <c r="J31" t="s">
        <v>373</v>
      </c>
      <c r="K31" s="6" t="s">
        <v>374</v>
      </c>
      <c r="L31" t="s">
        <v>186</v>
      </c>
      <c r="M31" t="s">
        <v>315</v>
      </c>
      <c r="N31" s="6" t="s">
        <v>375</v>
      </c>
      <c r="O31">
        <v>4.7</v>
      </c>
      <c r="P31">
        <v>1</v>
      </c>
    </row>
    <row r="32" spans="2:16" ht="72.900000000000006">
      <c r="B32" s="31">
        <v>122</v>
      </c>
      <c r="C32" s="31" t="s">
        <v>55</v>
      </c>
      <c r="J32"/>
      <c r="L32" t="s">
        <v>180</v>
      </c>
      <c r="M32" t="s">
        <v>376</v>
      </c>
      <c r="N32" s="6" t="s">
        <v>377</v>
      </c>
      <c r="O32">
        <v>4.5999999999999996</v>
      </c>
      <c r="P32">
        <v>2</v>
      </c>
    </row>
    <row r="33" spans="2:17" ht="72.900000000000006">
      <c r="B33" s="31">
        <v>121</v>
      </c>
      <c r="C33" s="31" t="s">
        <v>63</v>
      </c>
      <c r="D33" s="17"/>
      <c r="E33" s="17"/>
      <c r="J33"/>
      <c r="L33" t="s">
        <v>188</v>
      </c>
      <c r="M33" t="s">
        <v>378</v>
      </c>
      <c r="N33" s="6" t="s">
        <v>379</v>
      </c>
      <c r="O33">
        <v>4.5999999999999996</v>
      </c>
      <c r="P33">
        <v>2</v>
      </c>
    </row>
    <row r="34" spans="2:17" ht="58.3">
      <c r="B34" s="31">
        <v>120</v>
      </c>
      <c r="C34" s="31" t="s">
        <v>55</v>
      </c>
      <c r="D34" s="17">
        <v>45413</v>
      </c>
      <c r="E34" s="17">
        <v>45474</v>
      </c>
      <c r="F34" t="s">
        <v>323</v>
      </c>
      <c r="G34" t="s">
        <v>380</v>
      </c>
      <c r="H34" t="s">
        <v>99</v>
      </c>
      <c r="I34" t="s">
        <v>128</v>
      </c>
      <c r="J34" t="s">
        <v>381</v>
      </c>
      <c r="K34" s="6" t="s">
        <v>382</v>
      </c>
      <c r="L34" t="s">
        <v>177</v>
      </c>
      <c r="M34" t="s">
        <v>341</v>
      </c>
      <c r="N34" s="6"/>
    </row>
    <row r="35" spans="2:17" ht="58.3">
      <c r="B35" s="31">
        <v>119</v>
      </c>
      <c r="C35" s="31" t="s">
        <v>63</v>
      </c>
      <c r="D35" s="17">
        <v>45413</v>
      </c>
      <c r="E35" s="17">
        <v>45474</v>
      </c>
      <c r="F35" t="s">
        <v>323</v>
      </c>
      <c r="G35" t="s">
        <v>380</v>
      </c>
      <c r="H35" t="s">
        <v>99</v>
      </c>
      <c r="I35" t="s">
        <v>128</v>
      </c>
      <c r="J35" t="s">
        <v>383</v>
      </c>
      <c r="K35" s="6" t="s">
        <v>384</v>
      </c>
      <c r="L35" t="s">
        <v>186</v>
      </c>
      <c r="M35" t="s">
        <v>341</v>
      </c>
      <c r="N35" s="6"/>
    </row>
    <row r="36" spans="2:17" ht="87.45">
      <c r="B36" s="31">
        <v>118</v>
      </c>
      <c r="C36" s="31" t="s">
        <v>55</v>
      </c>
      <c r="D36" s="17">
        <v>45362</v>
      </c>
      <c r="E36" s="17">
        <v>45387</v>
      </c>
      <c r="F36" t="s">
        <v>310</v>
      </c>
      <c r="G36" t="s">
        <v>100</v>
      </c>
      <c r="H36" t="s">
        <v>349</v>
      </c>
      <c r="I36" t="s">
        <v>128</v>
      </c>
      <c r="J36" t="s">
        <v>337</v>
      </c>
      <c r="K36" s="6" t="s">
        <v>385</v>
      </c>
      <c r="L36" t="s">
        <v>177</v>
      </c>
      <c r="M36" t="s">
        <v>315</v>
      </c>
      <c r="N36" s="6" t="s">
        <v>386</v>
      </c>
      <c r="O36">
        <v>4.7</v>
      </c>
    </row>
    <row r="37" spans="2:17" ht="72.900000000000006">
      <c r="B37" s="31">
        <v>117</v>
      </c>
      <c r="C37" s="31" t="s">
        <v>63</v>
      </c>
      <c r="D37" s="17">
        <v>45362</v>
      </c>
      <c r="E37" s="17">
        <v>45387</v>
      </c>
      <c r="F37" t="s">
        <v>310</v>
      </c>
      <c r="G37" t="s">
        <v>100</v>
      </c>
      <c r="H37" t="s">
        <v>349</v>
      </c>
      <c r="I37" t="s">
        <v>128</v>
      </c>
      <c r="J37" t="s">
        <v>352</v>
      </c>
      <c r="K37" s="6" t="s">
        <v>387</v>
      </c>
      <c r="L37" t="s">
        <v>186</v>
      </c>
      <c r="M37" t="s">
        <v>315</v>
      </c>
      <c r="N37" s="6" t="s">
        <v>388</v>
      </c>
      <c r="O37">
        <v>4.7</v>
      </c>
    </row>
    <row r="38" spans="2:17" ht="58.3">
      <c r="B38" s="31">
        <v>116</v>
      </c>
      <c r="C38" s="31" t="s">
        <v>55</v>
      </c>
      <c r="J38"/>
      <c r="L38" t="s">
        <v>180</v>
      </c>
      <c r="M38" t="s">
        <v>355</v>
      </c>
      <c r="N38" s="6" t="s">
        <v>389</v>
      </c>
      <c r="O38">
        <v>4.7</v>
      </c>
    </row>
    <row r="39" spans="2:17" ht="58.3">
      <c r="B39" s="31">
        <v>115</v>
      </c>
      <c r="C39" s="31" t="s">
        <v>63</v>
      </c>
      <c r="D39" s="17"/>
      <c r="E39" s="17"/>
      <c r="J39"/>
      <c r="L39" t="s">
        <v>188</v>
      </c>
      <c r="M39" t="s">
        <v>357</v>
      </c>
      <c r="N39" s="6" t="s">
        <v>390</v>
      </c>
      <c r="O39">
        <v>4.7</v>
      </c>
    </row>
    <row r="40" spans="2:17" ht="102">
      <c r="B40" s="31">
        <v>114</v>
      </c>
      <c r="C40" s="31" t="s">
        <v>55</v>
      </c>
      <c r="D40" s="17">
        <v>44927</v>
      </c>
      <c r="E40" s="17">
        <v>45413</v>
      </c>
      <c r="F40" t="s">
        <v>323</v>
      </c>
      <c r="G40" t="s">
        <v>363</v>
      </c>
      <c r="H40" t="s">
        <v>369</v>
      </c>
      <c r="I40" t="s">
        <v>124</v>
      </c>
      <c r="J40" t="s">
        <v>370</v>
      </c>
      <c r="K40" s="6" t="s">
        <v>391</v>
      </c>
      <c r="L40" t="s">
        <v>177</v>
      </c>
      <c r="M40" t="s">
        <v>392</v>
      </c>
      <c r="N40" s="6" t="s">
        <v>393</v>
      </c>
      <c r="O40">
        <v>4.5999999999999996</v>
      </c>
      <c r="P40">
        <v>2</v>
      </c>
      <c r="Q40">
        <v>2</v>
      </c>
    </row>
    <row r="41" spans="2:17" ht="102">
      <c r="B41" s="31">
        <v>113</v>
      </c>
      <c r="C41" s="31" t="s">
        <v>63</v>
      </c>
      <c r="D41" s="17">
        <v>44927</v>
      </c>
      <c r="E41" s="17">
        <v>45413</v>
      </c>
      <c r="F41" t="s">
        <v>323</v>
      </c>
      <c r="G41" t="s">
        <v>363</v>
      </c>
      <c r="H41" t="s">
        <v>369</v>
      </c>
      <c r="I41" t="s">
        <v>124</v>
      </c>
      <c r="J41" t="s">
        <v>373</v>
      </c>
      <c r="K41" s="6" t="s">
        <v>394</v>
      </c>
      <c r="L41" t="s">
        <v>186</v>
      </c>
      <c r="M41" t="s">
        <v>392</v>
      </c>
      <c r="N41" s="6" t="s">
        <v>395</v>
      </c>
      <c r="O41">
        <v>4.5999999999999996</v>
      </c>
      <c r="P41">
        <v>2</v>
      </c>
      <c r="Q41">
        <v>2</v>
      </c>
    </row>
    <row r="42" spans="2:17" ht="43.75">
      <c r="B42" s="31">
        <v>112</v>
      </c>
      <c r="C42" s="31" t="s">
        <v>55</v>
      </c>
      <c r="G42" t="s">
        <v>363</v>
      </c>
      <c r="I42" t="s">
        <v>124</v>
      </c>
      <c r="J42"/>
      <c r="L42" t="s">
        <v>177</v>
      </c>
      <c r="M42" t="s">
        <v>315</v>
      </c>
      <c r="N42" s="6" t="s">
        <v>396</v>
      </c>
      <c r="O42">
        <v>4.8</v>
      </c>
      <c r="Q42">
        <v>2</v>
      </c>
    </row>
    <row r="43" spans="2:17" ht="29.15">
      <c r="B43" s="31">
        <v>111</v>
      </c>
      <c r="C43" s="31" t="s">
        <v>63</v>
      </c>
      <c r="G43" t="s">
        <v>363</v>
      </c>
      <c r="I43" t="s">
        <v>124</v>
      </c>
      <c r="J43"/>
      <c r="L43" t="s">
        <v>186</v>
      </c>
      <c r="M43" t="s">
        <v>315</v>
      </c>
      <c r="N43" s="6" t="s">
        <v>397</v>
      </c>
      <c r="O43">
        <v>4.8</v>
      </c>
      <c r="Q43">
        <v>2</v>
      </c>
    </row>
    <row r="44" spans="2:17" ht="29.15">
      <c r="B44" s="31">
        <v>110</v>
      </c>
      <c r="C44" s="31" t="s">
        <v>55</v>
      </c>
      <c r="G44" t="s">
        <v>363</v>
      </c>
      <c r="I44" t="s">
        <v>124</v>
      </c>
      <c r="J44"/>
      <c r="L44" t="s">
        <v>177</v>
      </c>
      <c r="M44" t="s">
        <v>398</v>
      </c>
      <c r="N44" s="6" t="s">
        <v>399</v>
      </c>
      <c r="O44">
        <v>2.4</v>
      </c>
      <c r="P44">
        <v>4</v>
      </c>
      <c r="Q44">
        <v>2</v>
      </c>
    </row>
    <row r="45" spans="2:17" ht="29.15">
      <c r="B45" s="31">
        <v>109</v>
      </c>
      <c r="C45" s="31" t="s">
        <v>63</v>
      </c>
      <c r="G45" t="s">
        <v>363</v>
      </c>
      <c r="I45" t="s">
        <v>124</v>
      </c>
      <c r="J45"/>
      <c r="L45" t="s">
        <v>186</v>
      </c>
      <c r="M45" t="s">
        <v>398</v>
      </c>
      <c r="N45" s="6" t="s">
        <v>400</v>
      </c>
      <c r="O45">
        <v>2.4</v>
      </c>
      <c r="P45">
        <v>4</v>
      </c>
      <c r="Q45">
        <v>2</v>
      </c>
    </row>
    <row r="46" spans="2:17" ht="29.15">
      <c r="B46" s="31">
        <v>108</v>
      </c>
      <c r="C46" s="31" t="s">
        <v>55</v>
      </c>
      <c r="G46" t="s">
        <v>363</v>
      </c>
      <c r="I46" t="s">
        <v>124</v>
      </c>
      <c r="J46"/>
      <c r="L46" t="s">
        <v>180</v>
      </c>
      <c r="M46" t="s">
        <v>401</v>
      </c>
      <c r="N46" s="6" t="s">
        <v>402</v>
      </c>
      <c r="O46">
        <v>4.5999999999999996</v>
      </c>
      <c r="P46">
        <v>1</v>
      </c>
      <c r="Q46">
        <v>2</v>
      </c>
    </row>
    <row r="47" spans="2:17" ht="29.15">
      <c r="B47" s="31">
        <v>107</v>
      </c>
      <c r="C47" s="31" t="s">
        <v>63</v>
      </c>
      <c r="G47" t="s">
        <v>363</v>
      </c>
      <c r="I47" t="s">
        <v>124</v>
      </c>
      <c r="J47"/>
      <c r="L47" t="s">
        <v>188</v>
      </c>
      <c r="M47" t="s">
        <v>401</v>
      </c>
      <c r="N47" s="6" t="s">
        <v>403</v>
      </c>
      <c r="O47">
        <v>4.5999999999999996</v>
      </c>
      <c r="P47">
        <v>1</v>
      </c>
      <c r="Q47">
        <v>2</v>
      </c>
    </row>
    <row r="48" spans="2:17" ht="43.75">
      <c r="B48" s="31">
        <v>106</v>
      </c>
      <c r="C48" s="31" t="s">
        <v>55</v>
      </c>
      <c r="G48" t="s">
        <v>363</v>
      </c>
      <c r="I48" t="s">
        <v>124</v>
      </c>
      <c r="J48"/>
      <c r="L48" t="s">
        <v>180</v>
      </c>
      <c r="M48" t="s">
        <v>376</v>
      </c>
      <c r="N48" s="6" t="s">
        <v>404</v>
      </c>
      <c r="O48">
        <v>4.5</v>
      </c>
      <c r="Q48">
        <v>2</v>
      </c>
    </row>
    <row r="49" spans="2:17" ht="43.75">
      <c r="B49" s="31">
        <v>105</v>
      </c>
      <c r="C49" s="31" t="s">
        <v>63</v>
      </c>
      <c r="D49" s="17"/>
      <c r="E49" s="17"/>
      <c r="G49" t="s">
        <v>363</v>
      </c>
      <c r="I49" t="s">
        <v>124</v>
      </c>
      <c r="J49"/>
      <c r="L49" t="s">
        <v>188</v>
      </c>
      <c r="M49" t="s">
        <v>378</v>
      </c>
      <c r="N49" s="6" t="s">
        <v>405</v>
      </c>
      <c r="O49">
        <v>4.5</v>
      </c>
      <c r="Q49">
        <v>2</v>
      </c>
    </row>
    <row r="50" spans="2:17" ht="29.15">
      <c r="B50" s="31">
        <v>104</v>
      </c>
      <c r="C50" s="31" t="s">
        <v>55</v>
      </c>
      <c r="D50" s="17"/>
      <c r="E50" s="17"/>
      <c r="G50" t="s">
        <v>363</v>
      </c>
      <c r="I50" t="s">
        <v>124</v>
      </c>
      <c r="J50"/>
      <c r="L50" t="s">
        <v>180</v>
      </c>
      <c r="M50" t="s">
        <v>406</v>
      </c>
      <c r="N50" s="6" t="s">
        <v>407</v>
      </c>
      <c r="O50">
        <v>4</v>
      </c>
      <c r="P50">
        <v>3</v>
      </c>
      <c r="Q50">
        <v>2</v>
      </c>
    </row>
    <row r="51" spans="2:17" ht="29.15">
      <c r="B51" s="31">
        <v>103</v>
      </c>
      <c r="C51" s="31" t="s">
        <v>63</v>
      </c>
      <c r="D51" s="17"/>
      <c r="E51" s="17"/>
      <c r="G51" t="s">
        <v>363</v>
      </c>
      <c r="I51" t="s">
        <v>124</v>
      </c>
      <c r="J51"/>
      <c r="L51" t="s">
        <v>188</v>
      </c>
      <c r="M51" t="s">
        <v>408</v>
      </c>
      <c r="N51" s="6" t="s">
        <v>409</v>
      </c>
      <c r="O51">
        <v>4</v>
      </c>
      <c r="P51">
        <v>3</v>
      </c>
      <c r="Q51">
        <v>2</v>
      </c>
    </row>
    <row r="52" spans="2:17" ht="43.75">
      <c r="B52" s="31">
        <v>102</v>
      </c>
      <c r="C52" s="31" t="s">
        <v>55</v>
      </c>
      <c r="D52" s="17"/>
      <c r="E52" s="17"/>
      <c r="G52" t="s">
        <v>363</v>
      </c>
      <c r="I52" t="s">
        <v>124</v>
      </c>
      <c r="J52"/>
      <c r="L52" t="s">
        <v>180</v>
      </c>
      <c r="M52" t="s">
        <v>410</v>
      </c>
      <c r="N52" s="6" t="s">
        <v>411</v>
      </c>
      <c r="O52">
        <v>3.8</v>
      </c>
      <c r="Q52">
        <v>2</v>
      </c>
    </row>
    <row r="53" spans="2:17" ht="29.15">
      <c r="B53" s="31">
        <v>101</v>
      </c>
      <c r="C53" s="31" t="s">
        <v>63</v>
      </c>
      <c r="G53" t="s">
        <v>363</v>
      </c>
      <c r="I53" t="s">
        <v>124</v>
      </c>
      <c r="J53"/>
      <c r="L53" t="s">
        <v>188</v>
      </c>
      <c r="M53" t="s">
        <v>412</v>
      </c>
      <c r="N53" s="6" t="s">
        <v>413</v>
      </c>
      <c r="O53">
        <v>3.8</v>
      </c>
      <c r="Q53">
        <v>2</v>
      </c>
    </row>
    <row r="54" spans="2:17" ht="72.900000000000006">
      <c r="B54" s="31">
        <v>100</v>
      </c>
      <c r="C54" s="31" t="s">
        <v>55</v>
      </c>
      <c r="D54" s="17">
        <v>44593</v>
      </c>
      <c r="E54" s="17">
        <v>44927</v>
      </c>
      <c r="F54" t="s">
        <v>323</v>
      </c>
      <c r="G54" t="s">
        <v>414</v>
      </c>
      <c r="I54" t="s">
        <v>124</v>
      </c>
      <c r="J54" t="s">
        <v>415</v>
      </c>
      <c r="K54" s="6" t="s">
        <v>416</v>
      </c>
      <c r="L54" t="s">
        <v>177</v>
      </c>
      <c r="M54" t="s">
        <v>315</v>
      </c>
      <c r="N54" s="6" t="s">
        <v>417</v>
      </c>
      <c r="O54">
        <v>4.8</v>
      </c>
      <c r="Q54">
        <v>3</v>
      </c>
    </row>
    <row r="55" spans="2:17" ht="58.3">
      <c r="B55" s="31">
        <v>99</v>
      </c>
      <c r="C55" s="31" t="s">
        <v>63</v>
      </c>
      <c r="D55" s="17">
        <v>44593</v>
      </c>
      <c r="E55" s="17">
        <v>44927</v>
      </c>
      <c r="F55" t="s">
        <v>323</v>
      </c>
      <c r="G55" t="s">
        <v>414</v>
      </c>
      <c r="I55" t="s">
        <v>124</v>
      </c>
      <c r="J55" t="s">
        <v>415</v>
      </c>
      <c r="K55" s="6" t="s">
        <v>418</v>
      </c>
      <c r="L55" t="s">
        <v>186</v>
      </c>
      <c r="M55" t="s">
        <v>315</v>
      </c>
      <c r="N55" s="6" t="s">
        <v>419</v>
      </c>
      <c r="O55">
        <v>4.8</v>
      </c>
      <c r="Q55">
        <v>3</v>
      </c>
    </row>
    <row r="56" spans="2:17" ht="29.15">
      <c r="B56" s="31">
        <v>98</v>
      </c>
      <c r="C56" s="31" t="s">
        <v>55</v>
      </c>
      <c r="J56"/>
      <c r="L56" t="s">
        <v>177</v>
      </c>
      <c r="M56" t="s">
        <v>420</v>
      </c>
      <c r="N56" s="6" t="s">
        <v>421</v>
      </c>
      <c r="O56">
        <v>4.5999999999999996</v>
      </c>
      <c r="P56">
        <v>6</v>
      </c>
      <c r="Q56">
        <v>3</v>
      </c>
    </row>
    <row r="57" spans="2:17" ht="29.15">
      <c r="B57" s="31">
        <v>97</v>
      </c>
      <c r="C57" s="31" t="s">
        <v>63</v>
      </c>
      <c r="D57" s="17"/>
      <c r="E57" s="17"/>
      <c r="J57"/>
      <c r="L57" t="s">
        <v>186</v>
      </c>
      <c r="M57" t="s">
        <v>420</v>
      </c>
      <c r="N57" s="6" t="s">
        <v>422</v>
      </c>
      <c r="O57">
        <v>4.5999999999999996</v>
      </c>
      <c r="P57">
        <v>6</v>
      </c>
      <c r="Q57">
        <v>3</v>
      </c>
    </row>
    <row r="58" spans="2:17">
      <c r="B58" s="31">
        <v>96</v>
      </c>
      <c r="C58" s="31" t="s">
        <v>55</v>
      </c>
      <c r="D58" s="17"/>
      <c r="E58" s="17"/>
      <c r="J58"/>
      <c r="L58" t="s">
        <v>177</v>
      </c>
      <c r="M58" t="s">
        <v>423</v>
      </c>
      <c r="N58" s="6" t="s">
        <v>424</v>
      </c>
      <c r="O58">
        <v>4</v>
      </c>
      <c r="P58">
        <v>5</v>
      </c>
      <c r="Q58">
        <v>3</v>
      </c>
    </row>
    <row r="59" spans="2:17">
      <c r="B59" s="31">
        <v>95</v>
      </c>
      <c r="C59" s="31" t="s">
        <v>63</v>
      </c>
      <c r="J59"/>
      <c r="L59" t="s">
        <v>186</v>
      </c>
      <c r="M59" t="s">
        <v>423</v>
      </c>
      <c r="N59" s="6" t="s">
        <v>425</v>
      </c>
      <c r="O59">
        <v>4</v>
      </c>
      <c r="P59">
        <v>5</v>
      </c>
      <c r="Q59">
        <v>3</v>
      </c>
    </row>
    <row r="60" spans="2:17" ht="29.15">
      <c r="B60" s="31">
        <v>94</v>
      </c>
      <c r="C60" s="31" t="s">
        <v>55</v>
      </c>
      <c r="J60"/>
      <c r="L60" t="s">
        <v>177</v>
      </c>
      <c r="M60" t="s">
        <v>426</v>
      </c>
      <c r="N60" s="6" t="s">
        <v>427</v>
      </c>
      <c r="O60">
        <v>4</v>
      </c>
      <c r="P60">
        <v>6</v>
      </c>
      <c r="Q60">
        <v>3</v>
      </c>
    </row>
    <row r="61" spans="2:17" ht="29.15">
      <c r="B61" s="31">
        <v>93</v>
      </c>
      <c r="C61" s="31" t="s">
        <v>63</v>
      </c>
      <c r="J61"/>
      <c r="L61" t="s">
        <v>186</v>
      </c>
      <c r="M61" t="s">
        <v>426</v>
      </c>
      <c r="N61" s="6" t="s">
        <v>428</v>
      </c>
      <c r="O61">
        <v>4</v>
      </c>
      <c r="P61">
        <v>6</v>
      </c>
      <c r="Q61">
        <v>3</v>
      </c>
    </row>
    <row r="62" spans="2:17">
      <c r="B62" s="31">
        <v>92</v>
      </c>
      <c r="C62" s="31" t="s">
        <v>55</v>
      </c>
      <c r="J62"/>
      <c r="L62" t="s">
        <v>177</v>
      </c>
      <c r="M62" t="s">
        <v>429</v>
      </c>
      <c r="N62" s="6" t="s">
        <v>430</v>
      </c>
      <c r="O62">
        <v>4</v>
      </c>
      <c r="Q62">
        <v>3</v>
      </c>
    </row>
    <row r="63" spans="2:17">
      <c r="B63" s="31">
        <v>91</v>
      </c>
      <c r="C63" s="31" t="s">
        <v>63</v>
      </c>
      <c r="D63" s="17"/>
      <c r="E63" s="17"/>
      <c r="J63"/>
      <c r="L63" t="s">
        <v>186</v>
      </c>
      <c r="M63" t="s">
        <v>429</v>
      </c>
      <c r="N63" s="6" t="s">
        <v>431</v>
      </c>
      <c r="O63">
        <v>4</v>
      </c>
      <c r="Q63">
        <v>3</v>
      </c>
    </row>
    <row r="64" spans="2:17" ht="29.15">
      <c r="B64" s="31">
        <v>90</v>
      </c>
      <c r="C64" s="31" t="s">
        <v>55</v>
      </c>
      <c r="D64" s="17"/>
      <c r="E64" s="17"/>
      <c r="J64"/>
      <c r="L64" t="s">
        <v>177</v>
      </c>
      <c r="M64" t="s">
        <v>432</v>
      </c>
      <c r="N64" s="6" t="s">
        <v>433</v>
      </c>
      <c r="O64">
        <v>4</v>
      </c>
      <c r="Q64">
        <v>3</v>
      </c>
    </row>
    <row r="65" spans="2:17" ht="29.15">
      <c r="B65" s="31">
        <v>89</v>
      </c>
      <c r="C65" s="31" t="s">
        <v>63</v>
      </c>
      <c r="J65"/>
      <c r="L65" t="s">
        <v>186</v>
      </c>
      <c r="M65" t="s">
        <v>432</v>
      </c>
      <c r="N65" s="6" t="s">
        <v>434</v>
      </c>
      <c r="O65">
        <v>4</v>
      </c>
      <c r="Q65">
        <v>3</v>
      </c>
    </row>
    <row r="66" spans="2:17">
      <c r="B66" s="31">
        <v>88</v>
      </c>
      <c r="C66" s="31" t="s">
        <v>55</v>
      </c>
      <c r="J66"/>
      <c r="L66" t="s">
        <v>177</v>
      </c>
      <c r="M66" t="s">
        <v>435</v>
      </c>
      <c r="N66" s="6" t="s">
        <v>436</v>
      </c>
      <c r="O66">
        <v>3.5</v>
      </c>
      <c r="P66">
        <v>6</v>
      </c>
      <c r="Q66">
        <v>3</v>
      </c>
    </row>
    <row r="67" spans="2:17">
      <c r="B67" s="31">
        <v>87</v>
      </c>
      <c r="C67" s="31" t="s">
        <v>63</v>
      </c>
      <c r="J67"/>
      <c r="L67" t="s">
        <v>186</v>
      </c>
      <c r="M67" t="s">
        <v>435</v>
      </c>
      <c r="N67" s="6" t="s">
        <v>437</v>
      </c>
      <c r="O67">
        <v>3.5</v>
      </c>
      <c r="P67">
        <v>6</v>
      </c>
      <c r="Q67">
        <v>3</v>
      </c>
    </row>
    <row r="68" spans="2:17" ht="29.15">
      <c r="B68" s="31">
        <v>86</v>
      </c>
      <c r="C68" s="31" t="s">
        <v>55</v>
      </c>
      <c r="J68"/>
      <c r="L68" t="s">
        <v>180</v>
      </c>
      <c r="M68" t="s">
        <v>406</v>
      </c>
      <c r="N68" s="6" t="s">
        <v>438</v>
      </c>
      <c r="O68">
        <v>4.5</v>
      </c>
      <c r="Q68">
        <v>3</v>
      </c>
    </row>
    <row r="69" spans="2:17" ht="29.15">
      <c r="B69" s="31">
        <v>85</v>
      </c>
      <c r="C69" s="31" t="s">
        <v>63</v>
      </c>
      <c r="J69"/>
      <c r="L69" t="s">
        <v>188</v>
      </c>
      <c r="M69" t="s">
        <v>408</v>
      </c>
      <c r="N69" s="6" t="s">
        <v>439</v>
      </c>
      <c r="O69">
        <v>4.5</v>
      </c>
      <c r="Q69">
        <v>3</v>
      </c>
    </row>
    <row r="70" spans="2:17" ht="43.75">
      <c r="B70" s="31">
        <v>84</v>
      </c>
      <c r="C70" s="31" t="s">
        <v>55</v>
      </c>
      <c r="D70" s="17">
        <v>44713</v>
      </c>
      <c r="E70" s="17">
        <v>45292</v>
      </c>
      <c r="F70" t="s">
        <v>310</v>
      </c>
      <c r="G70" t="s">
        <v>440</v>
      </c>
      <c r="I70" t="s">
        <v>124</v>
      </c>
      <c r="J70" t="s">
        <v>313</v>
      </c>
      <c r="K70" s="6" t="s">
        <v>441</v>
      </c>
      <c r="L70" t="s">
        <v>177</v>
      </c>
      <c r="M70" t="s">
        <v>315</v>
      </c>
      <c r="N70" s="6" t="s">
        <v>442</v>
      </c>
      <c r="O70">
        <v>4</v>
      </c>
    </row>
    <row r="71" spans="2:17" ht="29.15">
      <c r="B71" s="31">
        <v>83</v>
      </c>
      <c r="C71" s="31" t="s">
        <v>63</v>
      </c>
      <c r="D71" s="17">
        <v>44713</v>
      </c>
      <c r="E71" s="17">
        <v>45292</v>
      </c>
      <c r="F71" t="s">
        <v>310</v>
      </c>
      <c r="G71" t="s">
        <v>440</v>
      </c>
      <c r="I71" t="s">
        <v>124</v>
      </c>
      <c r="J71" t="s">
        <v>320</v>
      </c>
      <c r="K71" s="6" t="s">
        <v>443</v>
      </c>
      <c r="L71" t="s">
        <v>186</v>
      </c>
      <c r="M71" t="s">
        <v>315</v>
      </c>
      <c r="N71" s="6" t="s">
        <v>444</v>
      </c>
      <c r="O71">
        <v>4</v>
      </c>
    </row>
    <row r="72" spans="2:17">
      <c r="B72" s="31">
        <v>82</v>
      </c>
      <c r="C72" s="31" t="s">
        <v>55</v>
      </c>
      <c r="J72"/>
      <c r="L72" t="s">
        <v>177</v>
      </c>
      <c r="M72" t="s">
        <v>445</v>
      </c>
      <c r="N72" s="6" t="s">
        <v>446</v>
      </c>
      <c r="O72">
        <v>3.5</v>
      </c>
    </row>
    <row r="73" spans="2:17">
      <c r="B73" s="31">
        <v>81</v>
      </c>
      <c r="C73" s="31" t="s">
        <v>63</v>
      </c>
      <c r="D73" s="17"/>
      <c r="E73" s="17"/>
      <c r="J73"/>
      <c r="L73" t="s">
        <v>186</v>
      </c>
      <c r="M73" t="s">
        <v>445</v>
      </c>
      <c r="N73" s="6" t="s">
        <v>447</v>
      </c>
      <c r="O73">
        <v>3.5</v>
      </c>
    </row>
    <row r="74" spans="2:17" ht="29.15">
      <c r="B74" s="31">
        <v>80</v>
      </c>
      <c r="C74" s="31" t="s">
        <v>55</v>
      </c>
      <c r="D74" s="17"/>
      <c r="E74" s="17"/>
      <c r="J74"/>
      <c r="L74" t="s">
        <v>180</v>
      </c>
      <c r="M74" t="s">
        <v>406</v>
      </c>
      <c r="N74" s="6" t="s">
        <v>448</v>
      </c>
      <c r="O74">
        <v>3</v>
      </c>
    </row>
    <row r="75" spans="2:17" ht="29.15">
      <c r="B75" s="31">
        <v>79</v>
      </c>
      <c r="C75" s="31" t="s">
        <v>63</v>
      </c>
      <c r="J75"/>
      <c r="L75" t="s">
        <v>188</v>
      </c>
      <c r="M75" t="s">
        <v>408</v>
      </c>
      <c r="N75" s="6" t="s">
        <v>449</v>
      </c>
      <c r="O75">
        <v>3</v>
      </c>
    </row>
    <row r="76" spans="2:17">
      <c r="B76" s="31">
        <v>78</v>
      </c>
      <c r="C76" s="31" t="s">
        <v>55</v>
      </c>
      <c r="D76" s="17">
        <v>44593</v>
      </c>
      <c r="E76" s="17">
        <v>44958</v>
      </c>
      <c r="F76" t="s">
        <v>310</v>
      </c>
      <c r="G76" t="s">
        <v>317</v>
      </c>
      <c r="I76" t="s">
        <v>124</v>
      </c>
      <c r="J76" t="s">
        <v>313</v>
      </c>
      <c r="K76" s="6" t="s">
        <v>450</v>
      </c>
      <c r="L76" t="s">
        <v>177</v>
      </c>
      <c r="M76" t="s">
        <v>315</v>
      </c>
      <c r="N76" s="6"/>
      <c r="O76">
        <v>4.7</v>
      </c>
    </row>
    <row r="77" spans="2:17">
      <c r="B77" s="31">
        <v>77</v>
      </c>
      <c r="C77" s="31" t="s">
        <v>63</v>
      </c>
      <c r="D77" s="17">
        <v>44593</v>
      </c>
      <c r="E77" s="17">
        <v>44958</v>
      </c>
      <c r="F77" t="s">
        <v>310</v>
      </c>
      <c r="G77" t="s">
        <v>317</v>
      </c>
      <c r="I77" t="s">
        <v>124</v>
      </c>
      <c r="J77" t="s">
        <v>320</v>
      </c>
      <c r="K77" s="6" t="s">
        <v>451</v>
      </c>
      <c r="L77" t="s">
        <v>186</v>
      </c>
      <c r="M77" t="s">
        <v>315</v>
      </c>
      <c r="N77" s="6"/>
      <c r="O77">
        <v>4.7</v>
      </c>
    </row>
    <row r="78" spans="2:17">
      <c r="B78" s="31">
        <v>76</v>
      </c>
      <c r="C78" s="31" t="s">
        <v>55</v>
      </c>
      <c r="D78" s="17">
        <v>44593</v>
      </c>
      <c r="E78" s="17">
        <v>44958</v>
      </c>
      <c r="F78" t="s">
        <v>310</v>
      </c>
      <c r="G78" t="s">
        <v>452</v>
      </c>
      <c r="I78" t="s">
        <v>124</v>
      </c>
      <c r="J78" t="s">
        <v>313</v>
      </c>
      <c r="K78" s="6" t="s">
        <v>450</v>
      </c>
      <c r="L78" t="s">
        <v>177</v>
      </c>
      <c r="M78" t="s">
        <v>315</v>
      </c>
      <c r="N78" s="6"/>
      <c r="O78">
        <v>4.7</v>
      </c>
    </row>
    <row r="79" spans="2:17">
      <c r="B79" s="31">
        <v>75</v>
      </c>
      <c r="C79" s="31" t="s">
        <v>63</v>
      </c>
      <c r="D79" s="17">
        <v>44593</v>
      </c>
      <c r="E79" s="17">
        <v>44958</v>
      </c>
      <c r="F79" t="s">
        <v>310</v>
      </c>
      <c r="G79" t="s">
        <v>452</v>
      </c>
      <c r="I79" t="s">
        <v>124</v>
      </c>
      <c r="J79" t="s">
        <v>320</v>
      </c>
      <c r="K79" s="6" t="s">
        <v>451</v>
      </c>
      <c r="L79" t="s">
        <v>186</v>
      </c>
      <c r="M79" t="s">
        <v>315</v>
      </c>
      <c r="N79" s="6"/>
      <c r="O79">
        <v>4.7</v>
      </c>
    </row>
    <row r="80" spans="2:17" ht="43.75">
      <c r="B80" s="31">
        <v>74</v>
      </c>
      <c r="C80" s="31" t="s">
        <v>55</v>
      </c>
      <c r="D80" s="17">
        <v>44562</v>
      </c>
      <c r="E80" s="17">
        <v>44593</v>
      </c>
      <c r="F80" t="s">
        <v>323</v>
      </c>
      <c r="G80" t="s">
        <v>453</v>
      </c>
      <c r="I80" t="s">
        <v>124</v>
      </c>
      <c r="J80" t="s">
        <v>454</v>
      </c>
      <c r="K80" s="6" t="s">
        <v>455</v>
      </c>
      <c r="L80" t="s">
        <v>177</v>
      </c>
      <c r="M80" t="s">
        <v>315</v>
      </c>
      <c r="N80" s="6" t="s">
        <v>456</v>
      </c>
      <c r="O80">
        <v>4.8</v>
      </c>
    </row>
    <row r="81" spans="2:16" ht="43.75">
      <c r="B81" s="31">
        <v>73</v>
      </c>
      <c r="C81" s="31" t="s">
        <v>63</v>
      </c>
      <c r="D81" s="17">
        <v>44562</v>
      </c>
      <c r="E81" s="17">
        <v>44593</v>
      </c>
      <c r="F81" t="s">
        <v>323</v>
      </c>
      <c r="G81" t="s">
        <v>453</v>
      </c>
      <c r="I81" t="s">
        <v>124</v>
      </c>
      <c r="J81" t="s">
        <v>457</v>
      </c>
      <c r="K81" s="6" t="s">
        <v>458</v>
      </c>
      <c r="L81" t="s">
        <v>186</v>
      </c>
      <c r="M81" t="s">
        <v>315</v>
      </c>
      <c r="N81" s="6" t="s">
        <v>459</v>
      </c>
      <c r="O81">
        <v>4.8</v>
      </c>
    </row>
    <row r="82" spans="2:16">
      <c r="B82" s="31">
        <v>72</v>
      </c>
      <c r="C82" s="31" t="s">
        <v>55</v>
      </c>
      <c r="J82"/>
      <c r="L82" t="s">
        <v>180</v>
      </c>
      <c r="M82" t="s">
        <v>406</v>
      </c>
      <c r="N82" s="6" t="s">
        <v>460</v>
      </c>
      <c r="O82">
        <v>4</v>
      </c>
    </row>
    <row r="83" spans="2:16">
      <c r="B83" s="31">
        <v>71</v>
      </c>
      <c r="C83" s="31" t="s">
        <v>63</v>
      </c>
      <c r="J83"/>
      <c r="L83" t="s">
        <v>188</v>
      </c>
      <c r="M83" t="s">
        <v>408</v>
      </c>
      <c r="N83" s="6" t="s">
        <v>461</v>
      </c>
      <c r="O83">
        <v>4</v>
      </c>
    </row>
    <row r="84" spans="2:16" ht="72.900000000000006">
      <c r="B84" s="31">
        <v>70</v>
      </c>
      <c r="C84" s="31" t="s">
        <v>55</v>
      </c>
      <c r="D84" s="17">
        <v>44228</v>
      </c>
      <c r="E84" s="17">
        <v>44593</v>
      </c>
      <c r="F84" t="s">
        <v>323</v>
      </c>
      <c r="G84" t="s">
        <v>462</v>
      </c>
      <c r="I84" t="s">
        <v>114</v>
      </c>
      <c r="J84" t="s">
        <v>463</v>
      </c>
      <c r="K84" s="6" t="s">
        <v>464</v>
      </c>
      <c r="L84" t="s">
        <v>177</v>
      </c>
      <c r="M84" t="s">
        <v>315</v>
      </c>
      <c r="N84" s="6" t="s">
        <v>465</v>
      </c>
      <c r="O84">
        <v>4.9000000000000004</v>
      </c>
    </row>
    <row r="85" spans="2:16" ht="72.900000000000006">
      <c r="B85" s="31">
        <v>69</v>
      </c>
      <c r="C85" s="31" t="s">
        <v>63</v>
      </c>
      <c r="D85" s="17">
        <v>44228</v>
      </c>
      <c r="E85" s="17">
        <v>44593</v>
      </c>
      <c r="F85" t="s">
        <v>323</v>
      </c>
      <c r="G85" t="s">
        <v>462</v>
      </c>
      <c r="I85" t="s">
        <v>114</v>
      </c>
      <c r="J85" t="s">
        <v>466</v>
      </c>
      <c r="K85" s="6" t="s">
        <v>467</v>
      </c>
      <c r="L85" t="s">
        <v>186</v>
      </c>
      <c r="M85" t="s">
        <v>315</v>
      </c>
      <c r="N85" s="6" t="s">
        <v>468</v>
      </c>
      <c r="O85">
        <v>4.9000000000000004</v>
      </c>
    </row>
    <row r="86" spans="2:16" ht="29.15">
      <c r="B86" s="31">
        <v>68</v>
      </c>
      <c r="C86" s="31" t="s">
        <v>55</v>
      </c>
      <c r="J86"/>
      <c r="L86" t="s">
        <v>177</v>
      </c>
      <c r="M86" t="s">
        <v>469</v>
      </c>
      <c r="N86" s="6" t="s">
        <v>470</v>
      </c>
      <c r="O86">
        <v>2</v>
      </c>
    </row>
    <row r="87" spans="2:16" ht="29.15">
      <c r="B87" s="31">
        <v>67</v>
      </c>
      <c r="C87" s="31" t="s">
        <v>63</v>
      </c>
      <c r="D87" s="17"/>
      <c r="E87" s="17"/>
      <c r="J87"/>
      <c r="L87" t="s">
        <v>186</v>
      </c>
      <c r="M87" t="s">
        <v>469</v>
      </c>
      <c r="N87" s="6" t="s">
        <v>471</v>
      </c>
      <c r="O87">
        <v>2</v>
      </c>
    </row>
    <row r="88" spans="2:16" ht="29.15">
      <c r="B88" s="31">
        <v>66</v>
      </c>
      <c r="C88" s="31" t="s">
        <v>55</v>
      </c>
      <c r="D88" s="17">
        <v>44166</v>
      </c>
      <c r="E88" s="17">
        <v>44228</v>
      </c>
      <c r="F88" t="s">
        <v>323</v>
      </c>
      <c r="G88" t="s">
        <v>472</v>
      </c>
      <c r="I88" t="s">
        <v>114</v>
      </c>
      <c r="J88" t="s">
        <v>473</v>
      </c>
      <c r="K88" s="6" t="s">
        <v>474</v>
      </c>
      <c r="L88" t="s">
        <v>177</v>
      </c>
      <c r="M88" t="s">
        <v>315</v>
      </c>
      <c r="N88" s="6" t="s">
        <v>475</v>
      </c>
      <c r="O88">
        <v>4.8</v>
      </c>
    </row>
    <row r="89" spans="2:16" ht="29.15">
      <c r="B89" s="31">
        <v>65</v>
      </c>
      <c r="C89" s="31" t="s">
        <v>63</v>
      </c>
      <c r="D89" s="17">
        <v>44166</v>
      </c>
      <c r="E89" s="17">
        <v>44228</v>
      </c>
      <c r="F89" t="s">
        <v>323</v>
      </c>
      <c r="G89" t="s">
        <v>472</v>
      </c>
      <c r="I89" t="s">
        <v>114</v>
      </c>
      <c r="J89" t="s">
        <v>476</v>
      </c>
      <c r="K89" s="6" t="s">
        <v>477</v>
      </c>
      <c r="L89" t="s">
        <v>186</v>
      </c>
      <c r="M89" t="s">
        <v>315</v>
      </c>
      <c r="N89" s="6" t="s">
        <v>478</v>
      </c>
      <c r="O89">
        <v>4.8</v>
      </c>
    </row>
    <row r="90" spans="2:16" ht="29.15">
      <c r="B90" s="31">
        <v>64</v>
      </c>
      <c r="C90" s="31" t="s">
        <v>55</v>
      </c>
      <c r="J90"/>
      <c r="L90" t="s">
        <v>180</v>
      </c>
      <c r="M90" t="s">
        <v>406</v>
      </c>
      <c r="N90" s="6" t="s">
        <v>479</v>
      </c>
      <c r="O90">
        <v>4</v>
      </c>
    </row>
    <row r="91" spans="2:16">
      <c r="B91" s="31">
        <v>63</v>
      </c>
      <c r="C91" s="31" t="s">
        <v>63</v>
      </c>
      <c r="J91"/>
      <c r="L91" t="s">
        <v>188</v>
      </c>
      <c r="M91" t="s">
        <v>408</v>
      </c>
      <c r="N91" s="6" t="s">
        <v>480</v>
      </c>
      <c r="O91">
        <v>4</v>
      </c>
    </row>
    <row r="92" spans="2:16" ht="43.75">
      <c r="B92" s="31">
        <v>62</v>
      </c>
      <c r="C92" s="31" t="s">
        <v>55</v>
      </c>
      <c r="D92" s="17">
        <v>44136</v>
      </c>
      <c r="E92" s="17">
        <v>44166</v>
      </c>
      <c r="F92" t="s">
        <v>310</v>
      </c>
      <c r="G92" t="s">
        <v>481</v>
      </c>
      <c r="I92" t="s">
        <v>114</v>
      </c>
      <c r="J92" t="s">
        <v>463</v>
      </c>
      <c r="K92" s="6" t="s">
        <v>482</v>
      </c>
      <c r="L92" t="s">
        <v>177</v>
      </c>
      <c r="M92" t="s">
        <v>315</v>
      </c>
      <c r="N92" s="6" t="s">
        <v>483</v>
      </c>
      <c r="O92">
        <v>4.5999999999999996</v>
      </c>
    </row>
    <row r="93" spans="2:16" ht="43.75">
      <c r="B93" s="31">
        <v>61</v>
      </c>
      <c r="C93" s="31" t="s">
        <v>63</v>
      </c>
      <c r="D93" s="17">
        <v>44136</v>
      </c>
      <c r="E93" s="17">
        <v>44166</v>
      </c>
      <c r="F93" t="s">
        <v>310</v>
      </c>
      <c r="G93" t="s">
        <v>481</v>
      </c>
      <c r="I93" t="s">
        <v>114</v>
      </c>
      <c r="J93" t="s">
        <v>466</v>
      </c>
      <c r="K93" s="6" t="s">
        <v>484</v>
      </c>
      <c r="L93" t="s">
        <v>186</v>
      </c>
      <c r="M93" t="s">
        <v>315</v>
      </c>
      <c r="N93" s="6" t="s">
        <v>485</v>
      </c>
      <c r="O93">
        <v>4.5999999999999996</v>
      </c>
    </row>
    <row r="94" spans="2:16">
      <c r="B94" s="31">
        <v>60</v>
      </c>
      <c r="C94" s="31" t="s">
        <v>55</v>
      </c>
      <c r="J94"/>
      <c r="L94" t="s">
        <v>177</v>
      </c>
      <c r="M94" t="s">
        <v>486</v>
      </c>
      <c r="N94" s="6" t="s">
        <v>487</v>
      </c>
      <c r="O94">
        <v>3</v>
      </c>
    </row>
    <row r="95" spans="2:16">
      <c r="B95" s="31">
        <v>59</v>
      </c>
      <c r="C95" s="31" t="s">
        <v>63</v>
      </c>
      <c r="J95"/>
      <c r="L95" t="s">
        <v>186</v>
      </c>
      <c r="M95" t="s">
        <v>486</v>
      </c>
      <c r="N95" s="6" t="s">
        <v>488</v>
      </c>
      <c r="O95">
        <v>3</v>
      </c>
    </row>
    <row r="96" spans="2:16">
      <c r="B96" s="31">
        <v>58</v>
      </c>
      <c r="C96" s="31" t="s">
        <v>55</v>
      </c>
      <c r="J96"/>
      <c r="L96" t="s">
        <v>177</v>
      </c>
      <c r="M96" t="s">
        <v>489</v>
      </c>
      <c r="N96" s="6" t="s">
        <v>490</v>
      </c>
      <c r="O96">
        <v>4</v>
      </c>
      <c r="P96">
        <v>3</v>
      </c>
    </row>
    <row r="97" spans="2:16">
      <c r="B97" s="31">
        <v>57</v>
      </c>
      <c r="C97" s="31" t="s">
        <v>63</v>
      </c>
      <c r="J97"/>
      <c r="L97" t="s">
        <v>186</v>
      </c>
      <c r="M97" t="s">
        <v>489</v>
      </c>
      <c r="N97" s="6" t="s">
        <v>491</v>
      </c>
      <c r="O97">
        <v>4</v>
      </c>
      <c r="P97">
        <v>3</v>
      </c>
    </row>
    <row r="98" spans="2:16" ht="29.15">
      <c r="B98" s="31">
        <v>56</v>
      </c>
      <c r="C98" s="31" t="s">
        <v>55</v>
      </c>
      <c r="D98" s="17">
        <v>44053</v>
      </c>
      <c r="E98" s="17">
        <v>44136</v>
      </c>
      <c r="F98" t="s">
        <v>310</v>
      </c>
      <c r="G98" t="s">
        <v>492</v>
      </c>
      <c r="I98" t="s">
        <v>114</v>
      </c>
      <c r="J98" t="s">
        <v>473</v>
      </c>
      <c r="K98" s="6" t="s">
        <v>493</v>
      </c>
      <c r="L98" t="s">
        <v>177</v>
      </c>
      <c r="M98" t="s">
        <v>315</v>
      </c>
      <c r="N98" s="6" t="s">
        <v>494</v>
      </c>
      <c r="O98">
        <v>4.5999999999999996</v>
      </c>
    </row>
    <row r="99" spans="2:16" ht="29.15">
      <c r="B99" s="31">
        <v>55</v>
      </c>
      <c r="C99" s="31" t="s">
        <v>63</v>
      </c>
      <c r="D99" s="17">
        <v>44053</v>
      </c>
      <c r="E99" s="17">
        <v>44136</v>
      </c>
      <c r="F99" t="s">
        <v>310</v>
      </c>
      <c r="G99" t="s">
        <v>492</v>
      </c>
      <c r="I99" t="s">
        <v>114</v>
      </c>
      <c r="J99" t="s">
        <v>476</v>
      </c>
      <c r="K99" s="6" t="s">
        <v>495</v>
      </c>
      <c r="L99" t="s">
        <v>186</v>
      </c>
      <c r="M99" t="s">
        <v>315</v>
      </c>
      <c r="N99" s="6" t="s">
        <v>496</v>
      </c>
      <c r="O99">
        <v>4.5999999999999996</v>
      </c>
    </row>
    <row r="100" spans="2:16">
      <c r="B100" s="31">
        <v>54</v>
      </c>
      <c r="C100" s="31" t="s">
        <v>55</v>
      </c>
      <c r="J100"/>
      <c r="L100" t="s">
        <v>177</v>
      </c>
      <c r="M100" t="s">
        <v>326</v>
      </c>
      <c r="N100" s="6" t="s">
        <v>497</v>
      </c>
      <c r="O100">
        <v>3</v>
      </c>
    </row>
    <row r="101" spans="2:16">
      <c r="B101" s="31">
        <v>53</v>
      </c>
      <c r="C101" s="31" t="s">
        <v>63</v>
      </c>
      <c r="J101"/>
      <c r="L101" t="s">
        <v>186</v>
      </c>
      <c r="M101" t="s">
        <v>326</v>
      </c>
      <c r="N101" s="6" t="s">
        <v>498</v>
      </c>
      <c r="O101">
        <v>3</v>
      </c>
    </row>
    <row r="102" spans="2:16">
      <c r="B102" s="31">
        <v>52</v>
      </c>
      <c r="C102" s="31" t="s">
        <v>55</v>
      </c>
      <c r="J102"/>
      <c r="L102" t="s">
        <v>177</v>
      </c>
      <c r="M102" t="s">
        <v>499</v>
      </c>
      <c r="N102" s="6" t="s">
        <v>500</v>
      </c>
      <c r="O102">
        <v>3</v>
      </c>
      <c r="P102">
        <v>5</v>
      </c>
    </row>
    <row r="103" spans="2:16">
      <c r="B103" s="31">
        <v>51</v>
      </c>
      <c r="C103" s="31" t="s">
        <v>63</v>
      </c>
      <c r="J103"/>
      <c r="L103" t="s">
        <v>186</v>
      </c>
      <c r="M103" t="s">
        <v>499</v>
      </c>
      <c r="N103" s="6" t="s">
        <v>501</v>
      </c>
      <c r="O103">
        <v>3</v>
      </c>
      <c r="P103">
        <v>5</v>
      </c>
    </row>
    <row r="104" spans="2:16">
      <c r="B104" s="31">
        <v>50</v>
      </c>
      <c r="C104" s="31" t="s">
        <v>55</v>
      </c>
      <c r="J104"/>
      <c r="L104" t="s">
        <v>180</v>
      </c>
      <c r="M104" t="s">
        <v>410</v>
      </c>
      <c r="N104" s="6" t="s">
        <v>502</v>
      </c>
      <c r="O104">
        <v>4</v>
      </c>
    </row>
    <row r="105" spans="2:16">
      <c r="B105" s="31">
        <v>49</v>
      </c>
      <c r="C105" s="31" t="s">
        <v>63</v>
      </c>
      <c r="J105"/>
      <c r="L105" t="s">
        <v>188</v>
      </c>
      <c r="M105" t="s">
        <v>412</v>
      </c>
      <c r="N105" s="6" t="s">
        <v>503</v>
      </c>
      <c r="O105">
        <v>4</v>
      </c>
    </row>
    <row r="106" spans="2:16">
      <c r="B106" s="31">
        <v>48</v>
      </c>
      <c r="C106" s="31" t="s">
        <v>55</v>
      </c>
      <c r="J106"/>
      <c r="L106" t="s">
        <v>180</v>
      </c>
      <c r="M106" t="s">
        <v>504</v>
      </c>
      <c r="N106" s="6" t="s">
        <v>505</v>
      </c>
      <c r="O106">
        <v>4</v>
      </c>
    </row>
    <row r="107" spans="2:16">
      <c r="B107" s="31">
        <v>47</v>
      </c>
      <c r="C107" s="31" t="s">
        <v>63</v>
      </c>
      <c r="J107"/>
      <c r="L107" t="s">
        <v>188</v>
      </c>
      <c r="M107" t="s">
        <v>506</v>
      </c>
      <c r="N107" s="6" t="s">
        <v>507</v>
      </c>
      <c r="O107">
        <v>4</v>
      </c>
    </row>
    <row r="108" spans="2:16" ht="29.15">
      <c r="B108" s="31">
        <v>46</v>
      </c>
      <c r="C108" s="31" t="s">
        <v>55</v>
      </c>
      <c r="D108" s="17">
        <v>44013</v>
      </c>
      <c r="E108" s="17">
        <v>44044</v>
      </c>
      <c r="F108" t="s">
        <v>310</v>
      </c>
      <c r="G108" t="s">
        <v>508</v>
      </c>
      <c r="I108" t="s">
        <v>114</v>
      </c>
      <c r="J108" t="s">
        <v>473</v>
      </c>
      <c r="K108" s="6" t="s">
        <v>509</v>
      </c>
      <c r="L108" t="s">
        <v>177</v>
      </c>
      <c r="M108" t="s">
        <v>315</v>
      </c>
      <c r="N108" s="6" t="s">
        <v>510</v>
      </c>
      <c r="O108">
        <v>4.5</v>
      </c>
    </row>
    <row r="109" spans="2:16">
      <c r="B109" s="31">
        <v>45</v>
      </c>
      <c r="C109" s="31" t="s">
        <v>63</v>
      </c>
      <c r="D109" s="17">
        <v>44013</v>
      </c>
      <c r="E109" s="17">
        <v>44044</v>
      </c>
      <c r="F109" t="s">
        <v>310</v>
      </c>
      <c r="G109" t="s">
        <v>508</v>
      </c>
      <c r="I109" t="s">
        <v>114</v>
      </c>
      <c r="J109" t="s">
        <v>476</v>
      </c>
      <c r="K109" s="6" t="s">
        <v>511</v>
      </c>
      <c r="L109" t="s">
        <v>186</v>
      </c>
      <c r="M109" t="s">
        <v>315</v>
      </c>
      <c r="N109" s="6" t="s">
        <v>512</v>
      </c>
      <c r="O109">
        <v>4.5</v>
      </c>
    </row>
    <row r="110" spans="2:16" ht="29.15">
      <c r="B110" s="31">
        <v>44</v>
      </c>
      <c r="C110" s="31" t="s">
        <v>55</v>
      </c>
      <c r="D110" s="17">
        <v>43952</v>
      </c>
      <c r="E110" s="17">
        <v>44013</v>
      </c>
      <c r="F110" t="s">
        <v>310</v>
      </c>
      <c r="G110" t="s">
        <v>513</v>
      </c>
      <c r="I110" t="s">
        <v>114</v>
      </c>
      <c r="J110" t="s">
        <v>463</v>
      </c>
      <c r="K110" s="6" t="s">
        <v>514</v>
      </c>
      <c r="L110" t="s">
        <v>177</v>
      </c>
      <c r="M110" t="s">
        <v>315</v>
      </c>
      <c r="N110" s="6" t="s">
        <v>515</v>
      </c>
      <c r="O110">
        <v>4.5</v>
      </c>
    </row>
    <row r="111" spans="2:16" ht="29.15">
      <c r="B111" s="31">
        <v>43</v>
      </c>
      <c r="C111" s="31" t="s">
        <v>63</v>
      </c>
      <c r="D111" s="17">
        <v>43952</v>
      </c>
      <c r="E111" s="17">
        <v>44013</v>
      </c>
      <c r="F111" t="s">
        <v>310</v>
      </c>
      <c r="G111" t="s">
        <v>513</v>
      </c>
      <c r="I111" t="s">
        <v>114</v>
      </c>
      <c r="J111" t="s">
        <v>466</v>
      </c>
      <c r="K111" s="6" t="s">
        <v>516</v>
      </c>
      <c r="L111" t="s">
        <v>186</v>
      </c>
      <c r="M111" t="s">
        <v>315</v>
      </c>
      <c r="N111" s="6" t="s">
        <v>517</v>
      </c>
      <c r="O111">
        <v>4.5</v>
      </c>
    </row>
    <row r="112" spans="2:16">
      <c r="B112" s="31">
        <v>42</v>
      </c>
      <c r="C112" s="31" t="s">
        <v>55</v>
      </c>
      <c r="J112"/>
      <c r="L112" t="s">
        <v>180</v>
      </c>
      <c r="M112" t="s">
        <v>410</v>
      </c>
      <c r="N112" s="6" t="s">
        <v>518</v>
      </c>
      <c r="O112">
        <v>4</v>
      </c>
    </row>
    <row r="113" spans="2:16">
      <c r="B113" s="31">
        <v>41</v>
      </c>
      <c r="C113" s="31" t="s">
        <v>63</v>
      </c>
      <c r="J113"/>
      <c r="L113" t="s">
        <v>188</v>
      </c>
      <c r="M113" t="s">
        <v>412</v>
      </c>
      <c r="N113" s="6" t="s">
        <v>519</v>
      </c>
      <c r="O113">
        <v>4</v>
      </c>
    </row>
    <row r="114" spans="2:16" ht="29.15">
      <c r="B114" s="31">
        <v>40</v>
      </c>
      <c r="C114" s="31" t="s">
        <v>55</v>
      </c>
      <c r="J114"/>
      <c r="L114" t="s">
        <v>180</v>
      </c>
      <c r="M114" t="s">
        <v>406</v>
      </c>
      <c r="N114" s="6" t="s">
        <v>520</v>
      </c>
      <c r="O114">
        <v>4</v>
      </c>
    </row>
    <row r="115" spans="2:16" ht="29.15">
      <c r="B115" s="31">
        <v>39</v>
      </c>
      <c r="C115" s="31" t="s">
        <v>63</v>
      </c>
      <c r="J115"/>
      <c r="L115" t="s">
        <v>188</v>
      </c>
      <c r="M115" t="s">
        <v>408</v>
      </c>
      <c r="N115" s="6" t="s">
        <v>521</v>
      </c>
      <c r="O115">
        <v>4</v>
      </c>
    </row>
    <row r="116" spans="2:16" ht="29.15">
      <c r="B116" s="31">
        <v>38</v>
      </c>
      <c r="C116" s="31" t="s">
        <v>55</v>
      </c>
      <c r="D116" s="17">
        <v>43922</v>
      </c>
      <c r="E116" s="17">
        <v>44013</v>
      </c>
      <c r="F116" t="s">
        <v>310</v>
      </c>
      <c r="G116" t="s">
        <v>522</v>
      </c>
      <c r="I116" t="s">
        <v>114</v>
      </c>
      <c r="J116" t="s">
        <v>463</v>
      </c>
      <c r="K116" s="6" t="s">
        <v>523</v>
      </c>
      <c r="L116" t="s">
        <v>177</v>
      </c>
      <c r="M116" t="s">
        <v>315</v>
      </c>
      <c r="N116" s="6" t="s">
        <v>524</v>
      </c>
      <c r="O116">
        <v>4.5999999999999996</v>
      </c>
    </row>
    <row r="117" spans="2:16" ht="29.15">
      <c r="B117" s="31">
        <v>37</v>
      </c>
      <c r="C117" s="31" t="s">
        <v>63</v>
      </c>
      <c r="D117" s="17">
        <v>43922</v>
      </c>
      <c r="E117" s="17">
        <v>44013</v>
      </c>
      <c r="F117" t="s">
        <v>310</v>
      </c>
      <c r="G117" t="s">
        <v>522</v>
      </c>
      <c r="I117" t="s">
        <v>114</v>
      </c>
      <c r="J117" t="s">
        <v>466</v>
      </c>
      <c r="K117" s="6" t="s">
        <v>525</v>
      </c>
      <c r="L117" t="s">
        <v>186</v>
      </c>
      <c r="M117" t="s">
        <v>315</v>
      </c>
      <c r="N117" s="6" t="s">
        <v>526</v>
      </c>
      <c r="O117">
        <v>4.5999999999999996</v>
      </c>
    </row>
    <row r="118" spans="2:16">
      <c r="B118" s="31">
        <v>36</v>
      </c>
      <c r="C118" s="31" t="s">
        <v>55</v>
      </c>
      <c r="J118"/>
      <c r="L118" t="s">
        <v>177</v>
      </c>
      <c r="M118" t="s">
        <v>489</v>
      </c>
      <c r="N118" s="6" t="s">
        <v>527</v>
      </c>
      <c r="O118">
        <v>3</v>
      </c>
    </row>
    <row r="119" spans="2:16">
      <c r="B119" s="31">
        <v>35</v>
      </c>
      <c r="C119" s="31" t="s">
        <v>63</v>
      </c>
      <c r="J119"/>
      <c r="L119" t="s">
        <v>186</v>
      </c>
      <c r="M119" t="s">
        <v>489</v>
      </c>
      <c r="N119" s="6" t="s">
        <v>528</v>
      </c>
      <c r="O119">
        <v>3</v>
      </c>
    </row>
    <row r="120" spans="2:16" ht="43.75">
      <c r="B120" s="31">
        <v>34</v>
      </c>
      <c r="C120" s="31" t="s">
        <v>55</v>
      </c>
      <c r="J120"/>
      <c r="L120" t="s">
        <v>180</v>
      </c>
      <c r="M120" t="s">
        <v>406</v>
      </c>
      <c r="N120" s="6" t="s">
        <v>529</v>
      </c>
      <c r="O120">
        <v>4</v>
      </c>
    </row>
    <row r="121" spans="2:16" ht="43.75">
      <c r="B121" s="31">
        <v>33</v>
      </c>
      <c r="C121" s="31" t="s">
        <v>63</v>
      </c>
      <c r="J121"/>
      <c r="L121" t="s">
        <v>188</v>
      </c>
      <c r="M121" t="s">
        <v>408</v>
      </c>
      <c r="N121" s="6" t="s">
        <v>530</v>
      </c>
      <c r="O121">
        <v>4</v>
      </c>
    </row>
    <row r="122" spans="2:16" ht="116.6">
      <c r="B122" s="31">
        <v>32</v>
      </c>
      <c r="C122" s="31" t="s">
        <v>55</v>
      </c>
      <c r="D122" s="17">
        <v>43617</v>
      </c>
      <c r="E122" s="17">
        <v>43922</v>
      </c>
      <c r="F122" t="s">
        <v>323</v>
      </c>
      <c r="G122" t="s">
        <v>531</v>
      </c>
      <c r="I122" t="s">
        <v>114</v>
      </c>
      <c r="J122" t="s">
        <v>532</v>
      </c>
      <c r="K122" s="6" t="s">
        <v>533</v>
      </c>
      <c r="L122" t="s">
        <v>177</v>
      </c>
      <c r="M122" t="s">
        <v>315</v>
      </c>
      <c r="N122" s="6" t="s">
        <v>534</v>
      </c>
      <c r="O122">
        <v>4</v>
      </c>
    </row>
    <row r="123" spans="2:16" ht="87.45">
      <c r="B123" s="31">
        <v>31</v>
      </c>
      <c r="C123" s="31" t="s">
        <v>63</v>
      </c>
      <c r="D123" s="17">
        <v>43617</v>
      </c>
      <c r="E123" s="17">
        <v>43922</v>
      </c>
      <c r="F123" t="s">
        <v>323</v>
      </c>
      <c r="G123" t="s">
        <v>531</v>
      </c>
      <c r="I123" t="s">
        <v>114</v>
      </c>
      <c r="J123" t="s">
        <v>535</v>
      </c>
      <c r="K123" s="6" t="s">
        <v>536</v>
      </c>
      <c r="L123" t="s">
        <v>186</v>
      </c>
      <c r="M123" t="s">
        <v>315</v>
      </c>
      <c r="N123" s="6" t="s">
        <v>537</v>
      </c>
      <c r="O123">
        <v>4</v>
      </c>
    </row>
    <row r="124" spans="2:16">
      <c r="B124" s="31">
        <v>30</v>
      </c>
      <c r="C124" s="31" t="s">
        <v>55</v>
      </c>
      <c r="J124"/>
      <c r="L124" t="s">
        <v>177</v>
      </c>
      <c r="M124" t="s">
        <v>328</v>
      </c>
      <c r="N124" s="6" t="s">
        <v>538</v>
      </c>
      <c r="O124">
        <v>3</v>
      </c>
      <c r="P124">
        <v>4</v>
      </c>
    </row>
    <row r="125" spans="2:16">
      <c r="B125" s="31">
        <v>29</v>
      </c>
      <c r="C125" s="31" t="s">
        <v>63</v>
      </c>
      <c r="J125"/>
      <c r="L125" t="s">
        <v>186</v>
      </c>
      <c r="M125" t="s">
        <v>328</v>
      </c>
      <c r="N125" s="6" t="s">
        <v>539</v>
      </c>
      <c r="O125">
        <v>3</v>
      </c>
      <c r="P125">
        <v>4</v>
      </c>
    </row>
    <row r="126" spans="2:16">
      <c r="B126" s="31">
        <v>28</v>
      </c>
      <c r="C126" s="31" t="s">
        <v>55</v>
      </c>
      <c r="J126"/>
      <c r="L126" t="s">
        <v>177</v>
      </c>
      <c r="M126" t="s">
        <v>540</v>
      </c>
      <c r="N126" s="6" t="s">
        <v>541</v>
      </c>
      <c r="O126">
        <v>3</v>
      </c>
    </row>
    <row r="127" spans="2:16">
      <c r="B127" s="31">
        <v>27</v>
      </c>
      <c r="C127" s="31" t="s">
        <v>63</v>
      </c>
      <c r="J127"/>
      <c r="L127" t="s">
        <v>186</v>
      </c>
      <c r="M127" t="s">
        <v>540</v>
      </c>
      <c r="N127" s="6" t="s">
        <v>542</v>
      </c>
      <c r="O127">
        <v>3</v>
      </c>
    </row>
    <row r="128" spans="2:16" ht="29.15">
      <c r="B128" s="31">
        <v>26</v>
      </c>
      <c r="C128" s="31" t="s">
        <v>55</v>
      </c>
      <c r="J128"/>
      <c r="L128" t="s">
        <v>180</v>
      </c>
      <c r="M128" t="s">
        <v>429</v>
      </c>
      <c r="N128" s="6" t="s">
        <v>543</v>
      </c>
      <c r="O128">
        <v>4</v>
      </c>
    </row>
    <row r="129" spans="2:16" ht="29.15">
      <c r="B129" s="31">
        <v>25</v>
      </c>
      <c r="C129" s="31" t="s">
        <v>63</v>
      </c>
      <c r="J129"/>
      <c r="L129" t="s">
        <v>188</v>
      </c>
      <c r="M129" t="s">
        <v>429</v>
      </c>
      <c r="N129" s="6" t="s">
        <v>544</v>
      </c>
      <c r="O129">
        <v>4</v>
      </c>
    </row>
    <row r="130" spans="2:16">
      <c r="B130" s="31">
        <v>24</v>
      </c>
      <c r="C130" s="31" t="s">
        <v>55</v>
      </c>
      <c r="J130"/>
      <c r="L130" t="s">
        <v>180</v>
      </c>
      <c r="M130" t="s">
        <v>545</v>
      </c>
      <c r="N130" s="6" t="s">
        <v>546</v>
      </c>
      <c r="O130">
        <v>4</v>
      </c>
    </row>
    <row r="131" spans="2:16">
      <c r="B131" s="31">
        <v>23</v>
      </c>
      <c r="C131" s="31" t="s">
        <v>63</v>
      </c>
      <c r="J131"/>
      <c r="L131" t="s">
        <v>188</v>
      </c>
      <c r="M131" t="s">
        <v>545</v>
      </c>
      <c r="N131" s="6" t="s">
        <v>547</v>
      </c>
      <c r="O131">
        <v>4</v>
      </c>
    </row>
    <row r="132" spans="2:16" ht="116.6">
      <c r="B132" s="31">
        <v>22</v>
      </c>
      <c r="C132" s="31" t="s">
        <v>55</v>
      </c>
      <c r="D132" s="17">
        <v>42979</v>
      </c>
      <c r="E132" s="17">
        <v>43617</v>
      </c>
      <c r="F132" t="s">
        <v>323</v>
      </c>
      <c r="G132" t="s">
        <v>548</v>
      </c>
      <c r="I132" t="s">
        <v>110</v>
      </c>
      <c r="J132" t="s">
        <v>549</v>
      </c>
      <c r="K132" s="6" t="s">
        <v>550</v>
      </c>
      <c r="L132" t="s">
        <v>177</v>
      </c>
      <c r="M132" t="s">
        <v>315</v>
      </c>
      <c r="N132" s="6" t="s">
        <v>551</v>
      </c>
      <c r="O132">
        <v>4.4000000000000004</v>
      </c>
    </row>
    <row r="133" spans="2:16" ht="102">
      <c r="B133" s="31">
        <v>21</v>
      </c>
      <c r="C133" s="31" t="s">
        <v>63</v>
      </c>
      <c r="D133" s="17">
        <v>42979</v>
      </c>
      <c r="E133" s="17">
        <v>43617</v>
      </c>
      <c r="F133" t="s">
        <v>323</v>
      </c>
      <c r="G133" t="s">
        <v>548</v>
      </c>
      <c r="I133" t="s">
        <v>110</v>
      </c>
      <c r="J133" t="s">
        <v>552</v>
      </c>
      <c r="K133" s="6" t="s">
        <v>553</v>
      </c>
      <c r="L133" t="s">
        <v>186</v>
      </c>
      <c r="M133" t="s">
        <v>315</v>
      </c>
      <c r="N133" s="6" t="s">
        <v>554</v>
      </c>
      <c r="O133">
        <v>4.4000000000000004</v>
      </c>
    </row>
    <row r="134" spans="2:16">
      <c r="B134" s="31">
        <v>20</v>
      </c>
      <c r="C134" s="31" t="s">
        <v>55</v>
      </c>
      <c r="J134"/>
      <c r="L134" t="s">
        <v>177</v>
      </c>
      <c r="M134" t="s">
        <v>555</v>
      </c>
      <c r="N134" s="6"/>
      <c r="O134">
        <v>3</v>
      </c>
    </row>
    <row r="135" spans="2:16">
      <c r="B135" s="31">
        <v>19</v>
      </c>
      <c r="C135" s="31" t="s">
        <v>63</v>
      </c>
      <c r="J135"/>
      <c r="L135" t="s">
        <v>186</v>
      </c>
      <c r="M135" t="s">
        <v>555</v>
      </c>
      <c r="N135" s="6"/>
      <c r="O135">
        <v>3</v>
      </c>
    </row>
    <row r="136" spans="2:16">
      <c r="B136" s="31">
        <v>18</v>
      </c>
      <c r="C136" s="31" t="s">
        <v>55</v>
      </c>
      <c r="J136"/>
      <c r="L136" t="s">
        <v>177</v>
      </c>
      <c r="M136" t="s">
        <v>556</v>
      </c>
      <c r="N136" s="6"/>
      <c r="O136">
        <v>2.5</v>
      </c>
    </row>
    <row r="137" spans="2:16">
      <c r="B137" s="31">
        <v>17</v>
      </c>
      <c r="C137" s="31" t="s">
        <v>63</v>
      </c>
      <c r="J137"/>
      <c r="L137" t="s">
        <v>186</v>
      </c>
      <c r="M137" t="s">
        <v>556</v>
      </c>
      <c r="N137" s="6"/>
      <c r="O137">
        <v>2.5</v>
      </c>
    </row>
    <row r="138" spans="2:16">
      <c r="B138" s="31">
        <v>16</v>
      </c>
      <c r="C138" s="31" t="s">
        <v>55</v>
      </c>
      <c r="J138"/>
      <c r="L138" t="s">
        <v>177</v>
      </c>
      <c r="M138" t="s">
        <v>545</v>
      </c>
      <c r="N138" s="6"/>
      <c r="O138">
        <v>3</v>
      </c>
    </row>
    <row r="139" spans="2:16">
      <c r="B139" s="31">
        <v>15</v>
      </c>
      <c r="C139" s="31" t="s">
        <v>63</v>
      </c>
      <c r="J139"/>
      <c r="L139" t="s">
        <v>186</v>
      </c>
      <c r="M139" t="s">
        <v>545</v>
      </c>
      <c r="N139" s="6"/>
      <c r="O139">
        <v>3</v>
      </c>
    </row>
    <row r="140" spans="2:16">
      <c r="B140" s="31">
        <v>14</v>
      </c>
      <c r="C140" s="31" t="s">
        <v>55</v>
      </c>
      <c r="J140"/>
      <c r="L140" t="s">
        <v>177</v>
      </c>
      <c r="M140" t="s">
        <v>557</v>
      </c>
      <c r="N140" s="6"/>
      <c r="O140">
        <v>3</v>
      </c>
    </row>
    <row r="141" spans="2:16">
      <c r="B141" s="31">
        <v>13</v>
      </c>
      <c r="C141" s="31" t="s">
        <v>63</v>
      </c>
      <c r="J141"/>
      <c r="L141" t="s">
        <v>186</v>
      </c>
      <c r="M141" t="s">
        <v>557</v>
      </c>
      <c r="N141" s="6"/>
      <c r="O141">
        <v>3</v>
      </c>
    </row>
    <row r="142" spans="2:16">
      <c r="B142" s="31">
        <v>12</v>
      </c>
      <c r="C142" s="31" t="s">
        <v>55</v>
      </c>
      <c r="J142"/>
      <c r="L142" t="s">
        <v>180</v>
      </c>
      <c r="M142" s="6" t="s">
        <v>401</v>
      </c>
      <c r="N142" s="6"/>
      <c r="O142">
        <v>3</v>
      </c>
    </row>
    <row r="143" spans="2:16">
      <c r="B143" s="31">
        <v>11</v>
      </c>
      <c r="C143" s="31" t="s">
        <v>63</v>
      </c>
      <c r="J143"/>
      <c r="L143" t="s">
        <v>188</v>
      </c>
      <c r="M143" s="6" t="s">
        <v>401</v>
      </c>
      <c r="N143" s="6"/>
      <c r="O143">
        <v>3</v>
      </c>
    </row>
    <row r="144" spans="2:16">
      <c r="B144" s="31">
        <v>10</v>
      </c>
      <c r="C144" s="31" t="s">
        <v>55</v>
      </c>
      <c r="J144"/>
      <c r="L144" t="s">
        <v>180</v>
      </c>
      <c r="M144" t="s">
        <v>558</v>
      </c>
      <c r="N144" s="6"/>
      <c r="O144">
        <v>4</v>
      </c>
      <c r="P144">
        <v>4</v>
      </c>
    </row>
    <row r="145" spans="2:16">
      <c r="B145" s="31">
        <v>9</v>
      </c>
      <c r="C145" s="31" t="s">
        <v>63</v>
      </c>
      <c r="J145"/>
      <c r="L145" t="s">
        <v>188</v>
      </c>
      <c r="M145" t="s">
        <v>558</v>
      </c>
      <c r="N145" s="6"/>
      <c r="O145">
        <v>4</v>
      </c>
      <c r="P145">
        <v>4</v>
      </c>
    </row>
    <row r="146" spans="2:16" ht="43.75">
      <c r="B146" s="31">
        <v>8</v>
      </c>
      <c r="C146" s="31" t="s">
        <v>55</v>
      </c>
      <c r="D146" s="17">
        <v>42401</v>
      </c>
      <c r="E146" s="17">
        <v>42979</v>
      </c>
      <c r="G146" t="s">
        <v>559</v>
      </c>
      <c r="I146" t="s">
        <v>110</v>
      </c>
      <c r="J146" t="s">
        <v>560</v>
      </c>
      <c r="K146" s="6" t="s">
        <v>561</v>
      </c>
      <c r="L146" t="s">
        <v>177</v>
      </c>
      <c r="M146" t="s">
        <v>562</v>
      </c>
      <c r="N146" s="6" t="s">
        <v>563</v>
      </c>
      <c r="O146">
        <v>3.5</v>
      </c>
    </row>
    <row r="147" spans="2:16" ht="43.75">
      <c r="B147" s="31">
        <v>7</v>
      </c>
      <c r="C147" s="31" t="s">
        <v>63</v>
      </c>
      <c r="D147" s="17">
        <v>42401</v>
      </c>
      <c r="E147" s="17">
        <v>42979</v>
      </c>
      <c r="G147" t="s">
        <v>559</v>
      </c>
      <c r="I147" t="s">
        <v>110</v>
      </c>
      <c r="J147" t="s">
        <v>564</v>
      </c>
      <c r="K147" s="6" t="s">
        <v>565</v>
      </c>
      <c r="L147" t="s">
        <v>186</v>
      </c>
      <c r="M147" t="s">
        <v>562</v>
      </c>
      <c r="N147" s="6" t="s">
        <v>566</v>
      </c>
      <c r="O147">
        <v>3.5</v>
      </c>
    </row>
    <row r="148" spans="2:16">
      <c r="B148" s="31">
        <v>6</v>
      </c>
      <c r="C148" s="31" t="s">
        <v>55</v>
      </c>
      <c r="J148"/>
      <c r="L148" t="s">
        <v>177</v>
      </c>
      <c r="M148" t="s">
        <v>567</v>
      </c>
      <c r="N148" s="6" t="s">
        <v>568</v>
      </c>
      <c r="O148">
        <v>3</v>
      </c>
    </row>
    <row r="149" spans="2:16">
      <c r="B149" s="31">
        <v>5</v>
      </c>
      <c r="C149" s="31" t="s">
        <v>63</v>
      </c>
      <c r="J149"/>
      <c r="L149" t="s">
        <v>186</v>
      </c>
      <c r="M149" t="s">
        <v>567</v>
      </c>
      <c r="N149" s="6" t="s">
        <v>569</v>
      </c>
      <c r="O149">
        <v>3</v>
      </c>
    </row>
    <row r="150" spans="2:16">
      <c r="B150" s="31">
        <v>4</v>
      </c>
      <c r="C150" s="31" t="s">
        <v>55</v>
      </c>
      <c r="J150"/>
      <c r="L150" t="s">
        <v>177</v>
      </c>
      <c r="M150" t="s">
        <v>570</v>
      </c>
      <c r="N150" s="6" t="s">
        <v>571</v>
      </c>
      <c r="O150">
        <v>2.2000000000000002</v>
      </c>
    </row>
    <row r="151" spans="2:16">
      <c r="B151" s="31">
        <v>3</v>
      </c>
      <c r="C151" s="31" t="s">
        <v>63</v>
      </c>
      <c r="J151"/>
      <c r="L151" t="s">
        <v>186</v>
      </c>
      <c r="M151" t="s">
        <v>570</v>
      </c>
      <c r="N151" s="6" t="s">
        <v>572</v>
      </c>
      <c r="O151">
        <v>2.2000000000000002</v>
      </c>
    </row>
    <row r="152" spans="2:16">
      <c r="B152" s="31">
        <v>2</v>
      </c>
      <c r="C152" s="31" t="s">
        <v>55</v>
      </c>
      <c r="J152"/>
      <c r="L152" t="s">
        <v>177</v>
      </c>
      <c r="M152" t="s">
        <v>573</v>
      </c>
      <c r="N152" s="6" t="s">
        <v>574</v>
      </c>
      <c r="O152">
        <v>2</v>
      </c>
    </row>
    <row r="153" spans="2:16">
      <c r="B153" s="31">
        <v>1</v>
      </c>
      <c r="C153" s="32" t="s">
        <v>63</v>
      </c>
      <c r="J153"/>
      <c r="L153" t="s">
        <v>186</v>
      </c>
      <c r="M153" t="s">
        <v>575</v>
      </c>
      <c r="N153" s="6" t="s">
        <v>576</v>
      </c>
      <c r="O153">
        <v>2</v>
      </c>
    </row>
  </sheetData>
  <phoneticPr fontId="10" type="noConversion"/>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5A13E-DACA-459A-8505-76011AE37562}">
  <dimension ref="B2:M22"/>
  <sheetViews>
    <sheetView zoomScale="85" workbookViewId="0">
      <selection activeCell="E10" sqref="E10"/>
    </sheetView>
  </sheetViews>
  <sheetFormatPr baseColWidth="10" defaultColWidth="10.69140625" defaultRowHeight="14.6"/>
  <cols>
    <col min="2" max="4" width="12" customWidth="1"/>
    <col min="5" max="5" width="15.84375" customWidth="1"/>
    <col min="7" max="7" width="34.15234375" customWidth="1"/>
    <col min="8" max="8" width="25.3046875" style="6" customWidth="1"/>
    <col min="9" max="9" width="61.3046875" customWidth="1"/>
    <col min="10" max="10" width="67.3046875" customWidth="1"/>
  </cols>
  <sheetData>
    <row r="2" spans="2:13">
      <c r="B2" s="8" t="s">
        <v>577</v>
      </c>
      <c r="C2" s="8" t="s">
        <v>45</v>
      </c>
      <c r="D2" s="29" t="s">
        <v>578</v>
      </c>
      <c r="E2" s="8" t="s">
        <v>67</v>
      </c>
      <c r="F2" s="8" t="s">
        <v>228</v>
      </c>
      <c r="G2" s="8" t="s">
        <v>579</v>
      </c>
      <c r="H2" s="37" t="s">
        <v>580</v>
      </c>
      <c r="I2" s="8" t="s">
        <v>581</v>
      </c>
      <c r="J2" s="8" t="s">
        <v>582</v>
      </c>
    </row>
    <row r="3" spans="2:13" ht="29.15">
      <c r="B3" s="6">
        <v>20</v>
      </c>
      <c r="C3" s="30" t="s">
        <v>55</v>
      </c>
      <c r="D3" s="30">
        <v>45772</v>
      </c>
      <c r="E3" s="30" t="s">
        <v>583</v>
      </c>
      <c r="F3" s="30" t="s">
        <v>584</v>
      </c>
      <c r="G3" s="30" t="s">
        <v>585</v>
      </c>
      <c r="H3" s="30" t="s">
        <v>586</v>
      </c>
      <c r="I3" s="30" t="s">
        <v>587</v>
      </c>
      <c r="J3" s="30"/>
      <c r="M3" s="38"/>
    </row>
    <row r="4" spans="2:13" ht="29.15">
      <c r="B4" s="6">
        <v>19</v>
      </c>
      <c r="C4" s="30" t="s">
        <v>63</v>
      </c>
      <c r="D4" s="30">
        <v>45772</v>
      </c>
      <c r="E4" s="30" t="s">
        <v>583</v>
      </c>
      <c r="F4" s="30" t="s">
        <v>584</v>
      </c>
      <c r="G4" s="30" t="s">
        <v>588</v>
      </c>
      <c r="H4" s="30" t="s">
        <v>589</v>
      </c>
      <c r="I4" s="39" t="s">
        <v>590</v>
      </c>
      <c r="J4" s="40"/>
      <c r="M4" s="38"/>
    </row>
    <row r="5" spans="2:13" ht="29.15">
      <c r="B5" s="6">
        <v>18</v>
      </c>
      <c r="C5" s="30" t="s">
        <v>55</v>
      </c>
      <c r="D5" s="30">
        <v>45772</v>
      </c>
      <c r="E5" s="30" t="s">
        <v>583</v>
      </c>
      <c r="F5" s="30" t="s">
        <v>584</v>
      </c>
      <c r="G5" s="30" t="s">
        <v>585</v>
      </c>
      <c r="H5" s="30" t="s">
        <v>586</v>
      </c>
      <c r="I5" s="30" t="s">
        <v>591</v>
      </c>
      <c r="J5" s="30"/>
      <c r="M5" s="38"/>
    </row>
    <row r="6" spans="2:13" ht="42.45">
      <c r="B6" s="6">
        <v>17</v>
      </c>
      <c r="C6" s="30" t="s">
        <v>63</v>
      </c>
      <c r="D6" s="30">
        <v>45772</v>
      </c>
      <c r="E6" s="30" t="s">
        <v>583</v>
      </c>
      <c r="F6" s="30" t="s">
        <v>584</v>
      </c>
      <c r="G6" s="30" t="s">
        <v>588</v>
      </c>
      <c r="H6" s="30" t="s">
        <v>589</v>
      </c>
      <c r="I6" s="39" t="s">
        <v>592</v>
      </c>
      <c r="J6" s="40"/>
      <c r="M6" s="38"/>
    </row>
    <row r="7" spans="2:13" ht="58.3">
      <c r="B7" s="6">
        <v>16</v>
      </c>
      <c r="C7" s="30" t="s">
        <v>55</v>
      </c>
      <c r="D7" s="30">
        <v>45772</v>
      </c>
      <c r="E7" s="30" t="s">
        <v>583</v>
      </c>
      <c r="F7" s="30" t="s">
        <v>584</v>
      </c>
      <c r="G7" s="30" t="s">
        <v>585</v>
      </c>
      <c r="H7" s="30" t="s">
        <v>586</v>
      </c>
      <c r="I7" s="30" t="s">
        <v>593</v>
      </c>
      <c r="J7" s="30"/>
      <c r="M7" s="38"/>
    </row>
    <row r="8" spans="2:13" ht="42.45">
      <c r="B8" s="6">
        <v>15</v>
      </c>
      <c r="C8" s="30" t="s">
        <v>63</v>
      </c>
      <c r="D8" s="30">
        <v>45772</v>
      </c>
      <c r="E8" s="30" t="s">
        <v>583</v>
      </c>
      <c r="F8" s="30" t="s">
        <v>584</v>
      </c>
      <c r="G8" s="30" t="s">
        <v>588</v>
      </c>
      <c r="H8" s="30" t="s">
        <v>589</v>
      </c>
      <c r="I8" s="39" t="s">
        <v>594</v>
      </c>
      <c r="J8" s="40"/>
      <c r="M8" s="38"/>
    </row>
    <row r="9" spans="2:13" ht="29.15">
      <c r="B9" s="6">
        <v>14</v>
      </c>
      <c r="C9" s="30" t="s">
        <v>55</v>
      </c>
      <c r="D9" s="30">
        <v>45772</v>
      </c>
      <c r="E9" s="30" t="s">
        <v>583</v>
      </c>
      <c r="F9" s="30" t="s">
        <v>584</v>
      </c>
      <c r="G9" s="30" t="s">
        <v>585</v>
      </c>
      <c r="H9" s="30" t="s">
        <v>586</v>
      </c>
      <c r="I9" s="30" t="s">
        <v>595</v>
      </c>
      <c r="J9" s="30"/>
      <c r="M9" s="38"/>
    </row>
    <row r="10" spans="2:13" ht="29.15">
      <c r="B10" s="6">
        <v>13</v>
      </c>
      <c r="C10" s="30" t="s">
        <v>63</v>
      </c>
      <c r="D10" s="30">
        <v>45772</v>
      </c>
      <c r="E10" s="30" t="s">
        <v>583</v>
      </c>
      <c r="F10" s="30" t="s">
        <v>584</v>
      </c>
      <c r="G10" s="30" t="s">
        <v>588</v>
      </c>
      <c r="H10" s="30" t="s">
        <v>589</v>
      </c>
      <c r="I10" s="39" t="s">
        <v>596</v>
      </c>
      <c r="J10" s="40"/>
      <c r="M10" s="38"/>
    </row>
    <row r="11" spans="2:13" ht="29.15">
      <c r="B11" s="6">
        <v>12</v>
      </c>
      <c r="C11" s="30" t="s">
        <v>55</v>
      </c>
      <c r="D11" s="30">
        <v>45772</v>
      </c>
      <c r="E11" s="30" t="s">
        <v>583</v>
      </c>
      <c r="F11" s="30" t="s">
        <v>584</v>
      </c>
      <c r="G11" s="30" t="s">
        <v>585</v>
      </c>
      <c r="H11" s="30" t="s">
        <v>586</v>
      </c>
      <c r="I11" s="30" t="s">
        <v>597</v>
      </c>
      <c r="J11" s="30"/>
      <c r="M11" s="38"/>
    </row>
    <row r="12" spans="2:13" ht="29.15">
      <c r="B12" s="6">
        <v>11</v>
      </c>
      <c r="C12" s="30" t="s">
        <v>63</v>
      </c>
      <c r="D12" s="30">
        <v>45772</v>
      </c>
      <c r="E12" s="30" t="s">
        <v>583</v>
      </c>
      <c r="F12" s="30" t="s">
        <v>584</v>
      </c>
      <c r="G12" s="30" t="s">
        <v>588</v>
      </c>
      <c r="H12" s="30" t="s">
        <v>589</v>
      </c>
      <c r="I12" s="39" t="s">
        <v>598</v>
      </c>
      <c r="J12" s="40"/>
      <c r="M12" s="38"/>
    </row>
    <row r="13" spans="2:13" ht="43.75">
      <c r="B13" s="6">
        <v>10</v>
      </c>
      <c r="C13" s="30" t="s">
        <v>55</v>
      </c>
      <c r="D13" s="30">
        <v>45772</v>
      </c>
      <c r="E13" s="30" t="s">
        <v>583</v>
      </c>
      <c r="F13" s="30" t="s">
        <v>584</v>
      </c>
      <c r="G13" s="30" t="s">
        <v>585</v>
      </c>
      <c r="H13" s="30" t="s">
        <v>586</v>
      </c>
      <c r="I13" s="30" t="s">
        <v>599</v>
      </c>
      <c r="J13" s="30"/>
      <c r="M13" s="38"/>
    </row>
    <row r="14" spans="2:13" ht="42.45">
      <c r="B14" s="6">
        <v>9</v>
      </c>
      <c r="C14" s="30" t="s">
        <v>63</v>
      </c>
      <c r="D14" s="30">
        <v>45772</v>
      </c>
      <c r="E14" s="30" t="s">
        <v>583</v>
      </c>
      <c r="F14" s="30" t="s">
        <v>584</v>
      </c>
      <c r="G14" s="30" t="s">
        <v>588</v>
      </c>
      <c r="H14" s="30" t="s">
        <v>589</v>
      </c>
      <c r="I14" s="39" t="s">
        <v>600</v>
      </c>
      <c r="J14" s="40"/>
      <c r="M14" s="38"/>
    </row>
    <row r="15" spans="2:13" ht="87.45">
      <c r="B15" s="6">
        <v>8</v>
      </c>
      <c r="C15" s="30" t="s">
        <v>55</v>
      </c>
      <c r="D15" s="30">
        <v>45772</v>
      </c>
      <c r="E15" s="30" t="s">
        <v>583</v>
      </c>
      <c r="F15" s="30" t="s">
        <v>584</v>
      </c>
      <c r="G15" s="30" t="s">
        <v>585</v>
      </c>
      <c r="H15" s="30" t="s">
        <v>586</v>
      </c>
      <c r="I15" s="30" t="s">
        <v>601</v>
      </c>
      <c r="J15" s="30"/>
      <c r="M15" s="38"/>
    </row>
    <row r="16" spans="2:13" ht="84.9">
      <c r="B16" s="6">
        <v>7</v>
      </c>
      <c r="C16" s="30" t="s">
        <v>63</v>
      </c>
      <c r="D16" s="30">
        <v>45772</v>
      </c>
      <c r="E16" s="30" t="s">
        <v>583</v>
      </c>
      <c r="F16" s="30" t="s">
        <v>584</v>
      </c>
      <c r="G16" s="30" t="s">
        <v>588</v>
      </c>
      <c r="H16" s="30" t="s">
        <v>589</v>
      </c>
      <c r="I16" s="39" t="s">
        <v>602</v>
      </c>
      <c r="J16" s="40"/>
      <c r="M16" s="38"/>
    </row>
    <row r="17" spans="2:10" ht="43.75">
      <c r="B17" s="6">
        <v>6</v>
      </c>
      <c r="C17" s="30" t="s">
        <v>55</v>
      </c>
      <c r="D17" s="30">
        <v>45392</v>
      </c>
      <c r="E17" s="30" t="s">
        <v>363</v>
      </c>
      <c r="F17" s="30" t="s">
        <v>583</v>
      </c>
      <c r="G17" s="30" t="s">
        <v>603</v>
      </c>
      <c r="H17" s="30" t="s">
        <v>604</v>
      </c>
      <c r="I17" s="30" t="s">
        <v>605</v>
      </c>
      <c r="J17" s="30" t="s">
        <v>606</v>
      </c>
    </row>
    <row r="18" spans="2:10" ht="43.75">
      <c r="B18" s="6">
        <v>5</v>
      </c>
      <c r="C18" s="30" t="s">
        <v>63</v>
      </c>
      <c r="D18" s="30">
        <v>45392</v>
      </c>
      <c r="E18" s="30" t="s">
        <v>363</v>
      </c>
      <c r="F18" s="30" t="s">
        <v>583</v>
      </c>
      <c r="G18" s="30" t="s">
        <v>603</v>
      </c>
      <c r="H18" s="30" t="s">
        <v>604</v>
      </c>
      <c r="I18" s="30" t="s">
        <v>607</v>
      </c>
      <c r="J18" s="30" t="s">
        <v>608</v>
      </c>
    </row>
    <row r="19" spans="2:10" ht="72.900000000000006">
      <c r="B19" s="6">
        <v>4</v>
      </c>
      <c r="C19" s="30" t="s">
        <v>55</v>
      </c>
      <c r="D19" s="30">
        <v>45392</v>
      </c>
      <c r="E19" s="30" t="s">
        <v>363</v>
      </c>
      <c r="F19" s="30" t="s">
        <v>583</v>
      </c>
      <c r="G19" s="30" t="s">
        <v>609</v>
      </c>
      <c r="H19" s="30" t="s">
        <v>610</v>
      </c>
      <c r="I19" s="30" t="s">
        <v>611</v>
      </c>
      <c r="J19" s="30" t="s">
        <v>612</v>
      </c>
    </row>
    <row r="20" spans="2:10" ht="60.9">
      <c r="B20" s="6">
        <v>3</v>
      </c>
      <c r="C20" s="30" t="s">
        <v>63</v>
      </c>
      <c r="D20" s="30">
        <v>45392</v>
      </c>
      <c r="E20" s="30" t="s">
        <v>363</v>
      </c>
      <c r="F20" s="30" t="s">
        <v>583</v>
      </c>
      <c r="G20" s="30" t="s">
        <v>609</v>
      </c>
      <c r="H20" s="30" t="s">
        <v>610</v>
      </c>
      <c r="I20" s="30" t="s">
        <v>613</v>
      </c>
      <c r="J20" s="30" t="s">
        <v>614</v>
      </c>
    </row>
    <row r="21" spans="2:10" ht="72.900000000000006">
      <c r="B21" s="6">
        <v>2</v>
      </c>
      <c r="C21" s="30" t="s">
        <v>55</v>
      </c>
      <c r="D21" s="30">
        <v>45387</v>
      </c>
      <c r="E21" s="30" t="s">
        <v>100</v>
      </c>
      <c r="F21" s="30" t="s">
        <v>583</v>
      </c>
      <c r="G21" s="30" t="s">
        <v>584</v>
      </c>
      <c r="H21" s="30" t="s">
        <v>585</v>
      </c>
      <c r="I21" s="30" t="s">
        <v>615</v>
      </c>
      <c r="J21" s="30" t="s">
        <v>616</v>
      </c>
    </row>
    <row r="22" spans="2:10" ht="58.3">
      <c r="B22" s="6">
        <v>1</v>
      </c>
      <c r="C22" s="30" t="s">
        <v>63</v>
      </c>
      <c r="D22" s="35">
        <v>45387</v>
      </c>
      <c r="E22" s="30" t="s">
        <v>100</v>
      </c>
      <c r="F22" s="30" t="s">
        <v>583</v>
      </c>
      <c r="G22" s="30" t="s">
        <v>584</v>
      </c>
      <c r="H22" s="36" t="s">
        <v>588</v>
      </c>
      <c r="I22" s="30" t="s">
        <v>617</v>
      </c>
      <c r="J22" s="30" t="s">
        <v>618</v>
      </c>
    </row>
  </sheetData>
  <pageMargins left="0.7" right="0.7" top="0.75" bottom="0.75" header="0.3" footer="0.3"/>
  <pageSetup paperSize="9" orientation="portrait" horizontalDpi="1200" verticalDpi="1200"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20AD-D5C1-4CEE-AB75-C00F64143A07}">
  <dimension ref="A1:K21"/>
  <sheetViews>
    <sheetView topLeftCell="B1" workbookViewId="0">
      <selection activeCell="O4" sqref="O4"/>
    </sheetView>
  </sheetViews>
  <sheetFormatPr baseColWidth="10" defaultColWidth="9.3046875" defaultRowHeight="14.6"/>
  <cols>
    <col min="2" max="4" width="12.3046875" customWidth="1"/>
    <col min="5" max="5" width="10.3828125" bestFit="1" customWidth="1"/>
    <col min="6" max="6" width="13.3046875" style="6" customWidth="1"/>
    <col min="7" max="7" width="21.3046875" style="6" customWidth="1"/>
    <col min="8" max="8" width="39.53515625" style="6" customWidth="1"/>
    <col min="9" max="9" width="73.15234375" style="6" customWidth="1"/>
  </cols>
  <sheetData>
    <row r="1" spans="1:11">
      <c r="A1" t="s">
        <v>619</v>
      </c>
    </row>
    <row r="3" spans="1:11">
      <c r="B3" s="5" t="s">
        <v>577</v>
      </c>
      <c r="C3" s="5" t="s">
        <v>45</v>
      </c>
      <c r="D3" s="3" t="s">
        <v>142</v>
      </c>
      <c r="E3" s="3" t="s">
        <v>143</v>
      </c>
      <c r="F3" s="34" t="s">
        <v>620</v>
      </c>
      <c r="G3" s="34" t="s">
        <v>303</v>
      </c>
      <c r="H3" s="34" t="s">
        <v>621</v>
      </c>
      <c r="I3" s="33" t="s">
        <v>304</v>
      </c>
      <c r="J3" s="5" t="s">
        <v>622</v>
      </c>
      <c r="K3" s="12" t="s">
        <v>623</v>
      </c>
    </row>
    <row r="4" spans="1:11" ht="145.75">
      <c r="B4" s="16">
        <f t="shared" ref="B4:B6" si="0">1+B5</f>
        <v>18</v>
      </c>
      <c r="C4" t="s">
        <v>232</v>
      </c>
      <c r="D4" s="17">
        <v>45533</v>
      </c>
      <c r="E4" s="17">
        <v>45809</v>
      </c>
      <c r="F4" s="6" t="s">
        <v>624</v>
      </c>
      <c r="G4" s="6" t="s">
        <v>625</v>
      </c>
      <c r="H4" s="6" t="s">
        <v>626</v>
      </c>
      <c r="I4" s="6" t="s">
        <v>627</v>
      </c>
      <c r="J4" s="26" t="s">
        <v>628</v>
      </c>
    </row>
    <row r="5" spans="1:11" ht="160.30000000000001">
      <c r="B5" s="16">
        <f t="shared" si="0"/>
        <v>17</v>
      </c>
      <c r="C5" t="s">
        <v>238</v>
      </c>
      <c r="D5" s="17">
        <v>45533</v>
      </c>
      <c r="E5" s="17">
        <v>45809</v>
      </c>
      <c r="F5" s="6" t="s">
        <v>624</v>
      </c>
      <c r="G5" s="6" t="s">
        <v>629</v>
      </c>
      <c r="H5" s="6" t="s">
        <v>630</v>
      </c>
      <c r="I5" s="6" t="s">
        <v>631</v>
      </c>
      <c r="J5" s="26" t="s">
        <v>628</v>
      </c>
    </row>
    <row r="6" spans="1:11" ht="58.3">
      <c r="B6" s="16">
        <f t="shared" si="0"/>
        <v>16</v>
      </c>
      <c r="C6" t="s">
        <v>232</v>
      </c>
      <c r="D6" t="s">
        <v>632</v>
      </c>
      <c r="E6" t="s">
        <v>632</v>
      </c>
      <c r="F6" s="6" t="s">
        <v>633</v>
      </c>
      <c r="G6" s="6" t="s">
        <v>634</v>
      </c>
      <c r="H6" s="6" t="s">
        <v>635</v>
      </c>
      <c r="I6" s="9" t="s">
        <v>636</v>
      </c>
      <c r="J6" s="26" t="s">
        <v>637</v>
      </c>
      <c r="K6">
        <v>1</v>
      </c>
    </row>
    <row r="7" spans="1:11" ht="72.900000000000006">
      <c r="B7" s="16">
        <f>1+B8</f>
        <v>15</v>
      </c>
      <c r="C7" t="s">
        <v>238</v>
      </c>
      <c r="D7" t="s">
        <v>632</v>
      </c>
      <c r="E7" t="s">
        <v>632</v>
      </c>
      <c r="F7" s="6" t="s">
        <v>633</v>
      </c>
      <c r="G7" s="6" t="s">
        <v>638</v>
      </c>
      <c r="H7" s="42" t="s">
        <v>639</v>
      </c>
      <c r="I7" s="6" t="s">
        <v>640</v>
      </c>
      <c r="J7" s="26" t="s">
        <v>637</v>
      </c>
      <c r="K7" s="4">
        <v>1</v>
      </c>
    </row>
    <row r="8" spans="1:11" ht="58.3">
      <c r="B8" s="16">
        <v>14</v>
      </c>
      <c r="C8" t="s">
        <v>232</v>
      </c>
      <c r="D8" t="s">
        <v>641</v>
      </c>
      <c r="E8" t="s">
        <v>642</v>
      </c>
      <c r="F8" s="6" t="s">
        <v>633</v>
      </c>
      <c r="G8" s="6" t="s">
        <v>643</v>
      </c>
      <c r="H8" s="6" t="s">
        <v>644</v>
      </c>
      <c r="I8" s="6" t="s">
        <v>645</v>
      </c>
      <c r="J8" t="s">
        <v>123</v>
      </c>
      <c r="K8">
        <v>1</v>
      </c>
    </row>
    <row r="9" spans="1:11" ht="43.75">
      <c r="B9" s="18">
        <v>13</v>
      </c>
      <c r="C9" t="s">
        <v>238</v>
      </c>
      <c r="D9" t="s">
        <v>641</v>
      </c>
      <c r="E9" t="s">
        <v>642</v>
      </c>
      <c r="F9" s="6" t="s">
        <v>633</v>
      </c>
      <c r="G9" s="6" t="s">
        <v>646</v>
      </c>
      <c r="H9" s="6" t="s">
        <v>647</v>
      </c>
      <c r="I9" s="6" t="s">
        <v>648</v>
      </c>
      <c r="J9" t="s">
        <v>123</v>
      </c>
      <c r="K9">
        <v>1</v>
      </c>
    </row>
    <row r="10" spans="1:11" ht="29.15">
      <c r="B10" s="16">
        <v>12</v>
      </c>
      <c r="C10" t="s">
        <v>232</v>
      </c>
      <c r="D10" t="s">
        <v>649</v>
      </c>
      <c r="E10" t="s">
        <v>650</v>
      </c>
      <c r="F10" s="6" t="s">
        <v>633</v>
      </c>
      <c r="G10" s="6" t="s">
        <v>651</v>
      </c>
      <c r="H10" s="6" t="s">
        <v>652</v>
      </c>
      <c r="I10" s="6" t="s">
        <v>653</v>
      </c>
      <c r="J10" t="s">
        <v>123</v>
      </c>
      <c r="K10" t="s">
        <v>123</v>
      </c>
    </row>
    <row r="11" spans="1:11" ht="29.15">
      <c r="B11" s="18">
        <v>11</v>
      </c>
      <c r="C11" t="s">
        <v>238</v>
      </c>
      <c r="D11" t="s">
        <v>649</v>
      </c>
      <c r="E11" t="s">
        <v>650</v>
      </c>
      <c r="F11" s="6" t="s">
        <v>633</v>
      </c>
      <c r="G11" s="6" t="s">
        <v>654</v>
      </c>
      <c r="H11" s="6" t="s">
        <v>655</v>
      </c>
      <c r="I11" s="6" t="s">
        <v>656</v>
      </c>
      <c r="J11" t="s">
        <v>123</v>
      </c>
      <c r="K11" t="s">
        <v>123</v>
      </c>
    </row>
    <row r="12" spans="1:11" ht="58.3">
      <c r="B12" s="16">
        <v>10</v>
      </c>
      <c r="C12" t="s">
        <v>232</v>
      </c>
      <c r="D12" t="s">
        <v>657</v>
      </c>
      <c r="E12" t="s">
        <v>649</v>
      </c>
      <c r="F12" s="6" t="s">
        <v>633</v>
      </c>
      <c r="G12" s="6" t="s">
        <v>651</v>
      </c>
      <c r="H12" s="6" t="s">
        <v>652</v>
      </c>
      <c r="I12" s="6" t="s">
        <v>658</v>
      </c>
      <c r="J12" t="s">
        <v>123</v>
      </c>
      <c r="K12" t="s">
        <v>123</v>
      </c>
    </row>
    <row r="13" spans="1:11" ht="58.3">
      <c r="B13" s="18">
        <v>9</v>
      </c>
      <c r="C13" t="s">
        <v>238</v>
      </c>
      <c r="D13" t="s">
        <v>657</v>
      </c>
      <c r="E13" t="s">
        <v>649</v>
      </c>
      <c r="F13" s="6" t="s">
        <v>633</v>
      </c>
      <c r="G13" s="6" t="s">
        <v>654</v>
      </c>
      <c r="H13" s="6" t="s">
        <v>655</v>
      </c>
      <c r="I13" s="6" t="s">
        <v>659</v>
      </c>
      <c r="J13" t="s">
        <v>123</v>
      </c>
      <c r="K13" t="s">
        <v>123</v>
      </c>
    </row>
    <row r="14" spans="1:11" ht="29.15">
      <c r="B14" s="16">
        <v>8</v>
      </c>
      <c r="C14" t="s">
        <v>232</v>
      </c>
      <c r="D14" t="s">
        <v>660</v>
      </c>
      <c r="E14" t="s">
        <v>661</v>
      </c>
      <c r="F14" s="6" t="s">
        <v>662</v>
      </c>
      <c r="G14" s="6" t="s">
        <v>663</v>
      </c>
      <c r="H14" s="6" t="s">
        <v>664</v>
      </c>
      <c r="I14" s="6" t="s">
        <v>123</v>
      </c>
      <c r="J14" t="s">
        <v>123</v>
      </c>
      <c r="K14" t="s">
        <v>123</v>
      </c>
    </row>
    <row r="15" spans="1:11">
      <c r="B15" s="18">
        <v>7</v>
      </c>
      <c r="C15" t="s">
        <v>238</v>
      </c>
      <c r="D15" t="s">
        <v>660</v>
      </c>
      <c r="E15" t="s">
        <v>661</v>
      </c>
      <c r="F15" s="6" t="s">
        <v>665</v>
      </c>
      <c r="G15" s="6" t="s">
        <v>666</v>
      </c>
      <c r="H15" s="6" t="s">
        <v>667</v>
      </c>
      <c r="I15" s="6" t="s">
        <v>123</v>
      </c>
      <c r="J15" t="s">
        <v>123</v>
      </c>
      <c r="K15" t="s">
        <v>123</v>
      </c>
    </row>
    <row r="16" spans="1:11" ht="29.15">
      <c r="B16" s="16">
        <v>6</v>
      </c>
      <c r="C16" t="s">
        <v>232</v>
      </c>
      <c r="D16" t="s">
        <v>267</v>
      </c>
      <c r="E16" t="s">
        <v>240</v>
      </c>
      <c r="F16" s="6" t="s">
        <v>624</v>
      </c>
      <c r="G16" s="6" t="s">
        <v>668</v>
      </c>
      <c r="H16" s="6" t="s">
        <v>669</v>
      </c>
      <c r="I16" s="6" t="s">
        <v>670</v>
      </c>
      <c r="J16" t="s">
        <v>123</v>
      </c>
      <c r="K16" t="s">
        <v>123</v>
      </c>
    </row>
    <row r="17" spans="2:11" ht="29.15">
      <c r="B17" s="18">
        <v>5</v>
      </c>
      <c r="C17" t="s">
        <v>238</v>
      </c>
      <c r="D17" t="s">
        <v>267</v>
      </c>
      <c r="E17" t="s">
        <v>240</v>
      </c>
      <c r="F17" s="6" t="s">
        <v>624</v>
      </c>
      <c r="G17" s="6" t="s">
        <v>671</v>
      </c>
      <c r="H17" s="6" t="s">
        <v>672</v>
      </c>
      <c r="I17" s="6" t="s">
        <v>673</v>
      </c>
      <c r="J17" t="s">
        <v>123</v>
      </c>
      <c r="K17" t="s">
        <v>123</v>
      </c>
    </row>
    <row r="18" spans="2:11" ht="58.3">
      <c r="B18" s="16">
        <v>4</v>
      </c>
      <c r="C18" t="s">
        <v>232</v>
      </c>
      <c r="D18" t="s">
        <v>674</v>
      </c>
      <c r="E18" t="s">
        <v>657</v>
      </c>
      <c r="F18" s="6" t="s">
        <v>624</v>
      </c>
      <c r="G18" s="6" t="s">
        <v>675</v>
      </c>
      <c r="H18" s="6" t="s">
        <v>676</v>
      </c>
      <c r="I18" s="6" t="s">
        <v>677</v>
      </c>
      <c r="J18" t="s">
        <v>123</v>
      </c>
      <c r="K18">
        <v>2</v>
      </c>
    </row>
    <row r="19" spans="2:11" ht="58.3">
      <c r="B19" s="18">
        <v>3</v>
      </c>
      <c r="C19" t="s">
        <v>238</v>
      </c>
      <c r="D19" t="s">
        <v>674</v>
      </c>
      <c r="E19" t="s">
        <v>657</v>
      </c>
      <c r="F19" s="6" t="s">
        <v>624</v>
      </c>
      <c r="G19" s="6" t="s">
        <v>678</v>
      </c>
      <c r="H19" s="6" t="s">
        <v>679</v>
      </c>
      <c r="I19" s="6" t="s">
        <v>680</v>
      </c>
      <c r="J19" t="s">
        <v>123</v>
      </c>
      <c r="K19">
        <v>2</v>
      </c>
    </row>
    <row r="20" spans="2:11" ht="72.900000000000006">
      <c r="B20" s="16">
        <v>2</v>
      </c>
      <c r="C20" t="s">
        <v>232</v>
      </c>
      <c r="D20" t="s">
        <v>285</v>
      </c>
      <c r="E20" t="s">
        <v>123</v>
      </c>
      <c r="F20" s="6" t="s">
        <v>624</v>
      </c>
      <c r="G20" s="6" t="s">
        <v>681</v>
      </c>
      <c r="H20" s="6" t="s">
        <v>682</v>
      </c>
      <c r="I20" s="6" t="s">
        <v>683</v>
      </c>
      <c r="J20" t="s">
        <v>123</v>
      </c>
      <c r="K20" t="s">
        <v>123</v>
      </c>
    </row>
    <row r="21" spans="2:11" ht="72.900000000000006">
      <c r="B21" s="18">
        <v>1</v>
      </c>
      <c r="C21" t="s">
        <v>238</v>
      </c>
      <c r="D21" t="s">
        <v>285</v>
      </c>
      <c r="E21" t="s">
        <v>123</v>
      </c>
      <c r="F21" s="6" t="s">
        <v>624</v>
      </c>
      <c r="G21" s="6" t="s">
        <v>684</v>
      </c>
      <c r="H21" s="6" t="s">
        <v>685</v>
      </c>
      <c r="I21" s="6" t="s">
        <v>686</v>
      </c>
      <c r="J21" t="s">
        <v>123</v>
      </c>
      <c r="K21" t="s">
        <v>123</v>
      </c>
    </row>
  </sheetData>
  <hyperlinks>
    <hyperlink ref="I6" r:id="rId1" display="https://www.linkedin.com/feed/update/urn:li:activity:7275786335280349184 " xr:uid="{D4B418AE-7189-4533-B738-41AAC3474191}"/>
    <hyperlink ref="J6" r:id="rId2" xr:uid="{5407207F-6159-4A82-8160-E809381EBA47}"/>
    <hyperlink ref="J7" r:id="rId3" xr:uid="{E3F2211B-320C-434F-ADE6-EEB6D806D175}"/>
  </hyperlinks>
  <pageMargins left="0.7" right="0.7" top="0.75" bottom="0.75" header="0.3" footer="0.3"/>
  <legacyDrawing r:id="rId4"/>
  <tableParts count="1">
    <tablePart r:id="rId5"/>
  </tableParts>
</worksheet>
</file>

<file path=docMetadata/LabelInfo.xml><?xml version="1.0" encoding="utf-8"?>
<clbl:labelList xmlns:clbl="http://schemas.microsoft.com/office/2020/mipLabelMetadata">
  <clbl:label id="{c4079a9f-28ee-4728-93c7-9ef198569c9d}" enabled="1" method="Privileged" siteId="{cf36141c-ddd7-45a7-b073-111f66d0b30c}"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Accueil</vt:lpstr>
      <vt:lpstr>Home </vt:lpstr>
      <vt:lpstr>Dimension</vt:lpstr>
      <vt:lpstr>F-Employeur-Formation</vt:lpstr>
      <vt:lpstr>F-Client-Mission</vt:lpstr>
      <vt:lpstr>F-Client-Feedback</vt:lpstr>
      <vt:lpstr>F-Bénévolat et activités associ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Matthieu RANCINAN VENDEVILLE</dc:creator>
  <cp:keywords/>
  <dc:description/>
  <cp:lastModifiedBy>Matthieu RANCINAN</cp:lastModifiedBy>
  <cp:revision/>
  <dcterms:created xsi:type="dcterms:W3CDTF">2015-06-05T18:17:20Z</dcterms:created>
  <dcterms:modified xsi:type="dcterms:W3CDTF">2026-05-12T20:04:24Z</dcterms:modified>
  <cp:category/>
  <cp:contentStatus/>
</cp:coreProperties>
</file>